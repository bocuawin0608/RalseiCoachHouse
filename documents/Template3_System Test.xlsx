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styles.xml" ContentType="application/vnd.openxmlformats-officedocument.spreadsheetml.style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ver" sheetId="1" state="visible" r:id="rId3"/>
    <sheet name="Test Cases" sheetId="2" state="visible" r:id="rId4"/>
    <sheet name="Test Statistics" sheetId="3" state="visible" r:id="rId5"/>
    <sheet name="Coach Management" sheetId="4" state="visible" r:id="rId6"/>
    <sheet name="Coach Type Management" sheetId="5" state="visible" r:id="rId7"/>
  </sheets>
  <definedNames>
    <definedName function="false" hidden="false" name="ACTION" vbProcedure="false">#ref!</definedName>
    <definedName function="false" hidden="false" localSheetId="0" name="ACTION" vbProcedure="false">#ref!</definedName>
    <definedName function="false" hidden="false" localSheetId="4" name="ACTION" vbProcedure="false">#ref!</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0" authorId="0">
      <text>
        <r>
          <rPr>
            <sz val="10"/>
            <rFont val="Arial"/>
            <family val="2"/>
          </rPr>
          <t xml:space="preserve">*A</t>
        </r>
        <r>
          <rPr>
            <sz val="8"/>
            <color rgb="FF000000"/>
            <rFont val="Tahoma"/>
            <family val="2"/>
            <charset val="1"/>
          </rPr>
          <t xml:space="preserve">: Add
  </t>
        </r>
        <r>
          <rPr>
            <b val="true"/>
            <sz val="8"/>
            <color rgb="FF000000"/>
            <rFont val="Tahoma"/>
            <family val="2"/>
            <charset val="1"/>
          </rPr>
          <t xml:space="preserve">M</t>
        </r>
        <r>
          <rPr>
            <sz val="8"/>
            <color rgb="FF000000"/>
            <rFont val="Tahoma"/>
            <family val="2"/>
            <charset val="1"/>
          </rPr>
          <t xml:space="preserve">: Modify
  </t>
        </r>
        <r>
          <rPr>
            <b val="true"/>
            <sz val="8"/>
            <color rgb="FF000000"/>
            <rFont val="Tahoma"/>
            <family val="2"/>
            <charset val="1"/>
          </rPr>
          <t xml:space="preserve">D</t>
        </r>
        <r>
          <rPr>
            <sz val="8"/>
            <color rgb="FF000000"/>
            <rFont val="Tahoma"/>
            <family val="2"/>
            <charset val="1"/>
          </rPr>
          <t xml:space="preserve">: Delete
</t>
        </r>
      </text>
      <mc:AlternateContent>
        <mc:Choice Requires="v2">
          <commentPr autoFill="true" autoScale="false" colHidden="false" locked="false" rowHidden="false" textHAlign="justify" textVAlign="top">
            <anchor moveWithCells="false" sizeWithCells="false">
              <xdr:from>
                <xdr:col>3</xdr:col>
                <xdr:colOff>17</xdr:colOff>
                <xdr:row>4</xdr:row>
                <xdr:rowOff>6</xdr:rowOff>
              </xdr:from>
              <xdr:to>
                <xdr:col>4</xdr:col>
                <xdr:colOff>0</xdr:colOff>
                <xdr:row>9</xdr:row>
                <xdr:rowOff>4</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tqsang</author>
  </authors>
  <commentList>
    <comment ref="E10" authorId="0">
      <text>
        <r>
          <rPr>
            <sz val="10"/>
            <rFont val="Arial"/>
            <family val="2"/>
          </rPr>
          <t xml:space="preserve">List all test cases (must run before this case), conditions that must be done, or required state that the system should be in before performing this case</t>
        </r>
      </text>
      <mc:AlternateContent>
        <mc:Choice Requires="v2">
          <commentPr autoFill="true" autoScale="false" colHidden="false" locked="false" rowHidden="false" textHAlign="justify" textVAlign="top">
            <anchor moveWithCells="false" sizeWithCells="false">
              <xdr:from>
                <xdr:col>4</xdr:col>
                <xdr:colOff>22</xdr:colOff>
                <xdr:row>8</xdr:row>
                <xdr:rowOff>13</xdr:rowOff>
              </xdr:from>
              <xdr:to>
                <xdr:col>6</xdr:col>
                <xdr:colOff>81</xdr:colOff>
                <xdr:row>9</xdr:row>
                <xdr:rowOff>19</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tqsang</author>
  </authors>
  <commentList>
    <comment ref="E10" authorId="0">
      <text>
        <r>
          <rPr>
            <sz val="10"/>
            <rFont val="Arial"/>
            <family val="2"/>
          </rPr>
          <t xml:space="preserve">List all test cases (must run before this case), conditions that must be done, or required state that the system should be in before performing this case</t>
        </r>
      </text>
      <mc:AlternateContent>
        <mc:Choice Requires="v2">
          <commentPr autoFill="true" autoScale="false" colHidden="false" locked="false" rowHidden="false" textHAlign="justify" textVAlign="top">
            <anchor moveWithCells="false" sizeWithCells="false">
              <xdr:from>
                <xdr:col>4</xdr:col>
                <xdr:colOff>22</xdr:colOff>
                <xdr:row>8</xdr:row>
                <xdr:rowOff>13</xdr:rowOff>
              </xdr:from>
              <xdr:to>
                <xdr:col>6</xdr:col>
                <xdr:colOff>81</xdr:colOff>
                <xdr:row>9</xdr:row>
                <xdr:rowOff>19</xdr:rowOff>
              </xdr:to>
            </anchor>
          </commentPr>
        </mc:Choice>
        <mc:Fallback/>
      </mc:AlternateContent>
    </comment>
  </commentList>
</comments>
</file>

<file path=xl/sharedStrings.xml><?xml version="1.0" encoding="utf-8"?>
<sst xmlns="http://schemas.openxmlformats.org/spreadsheetml/2006/main" count="873" uniqueCount="474">
  <si>
    <t xml:space="preserve">SYSTEM TEST REPORT DOCUMENT</t>
  </si>
  <si>
    <t xml:space="preserve">Project Name</t>
  </si>
  <si>
    <t xml:space="preserve">Ralsei Coach House System</t>
  </si>
  <si>
    <t xml:space="preserve">Creator</t>
  </si>
  <si>
    <t xml:space="preserve">Doan Ngoc Duc, Le Thu Ha, Thanh, Trung</t>
  </si>
  <si>
    <t xml:space="preserve">Project Code</t>
  </si>
  <si>
    <t xml:space="preserve">RCHS</t>
  </si>
  <si>
    <t xml:space="preserve">Issue Date</t>
  </si>
  <si>
    <t xml:space="preserve">&lt;1/6/2026&gt;</t>
  </si>
  <si>
    <t xml:space="preserve">Document Code</t>
  </si>
  <si>
    <t xml:space="preserve">Version</t>
  </si>
  <si>
    <t xml:space="preserve">1.0.0</t>
  </si>
  <si>
    <t xml:space="preserve">Record of change</t>
  </si>
  <si>
    <t xml:space="preserve">Effective Date</t>
  </si>
  <si>
    <t xml:space="preserve">Change Item</t>
  </si>
  <si>
    <t xml:space="preserve">*A,D,M</t>
  </si>
  <si>
    <t xml:space="preserve">Change description</t>
  </si>
  <si>
    <t xml:space="preserve">Reference</t>
  </si>
  <si>
    <t xml:space="preserve">&lt;12/07/2026&gt;</t>
  </si>
  <si>
    <t xml:space="preserve">All sheets</t>
  </si>
  <si>
    <t xml:space="preserve">A</t>
  </si>
  <si>
    <t xml:space="preserve">Initial addition.</t>
  </si>
  <si>
    <t xml:space="preserve">&lt;List of documents which are refered in this version.&gt;</t>
  </si>
  <si>
    <t xml:space="preserve">TEST CASE LIST</t>
  </si>
  <si>
    <t xml:space="preserve">Test Environment Setup Description</t>
  </si>
  <si>
    <t xml:space="preserve">&lt;List enviroment requires in this system
1. Backend Server: https://localhost:9090 (Spring Boot)
2. Database: SQL Server (seed data applied)
3. Redis: Start Redis container on Docker Desktop
4. Frontend Staff Portal: Vite React at http://localhost:3000
5. Frontend Customer Portal: Vite React at https://localhost:2999
6. Web Browser: Any modern browser applicable
7. Payment Gateway (Sepay): Requires an ngrok tunnel pointing to port 9090 for Webhook integration
8. Email Service: Configured via terminal session environment variables (requires Gmail SMTP &amp; App Password)
9. Firebase Integration: Credentials and configurations managed locally via 'application-dev' profile and .env
10. Map &amp; Routing Service (Goong API): API keys and endpoints managed locally via 'application-dev' profile
&gt;</t>
  </si>
  <si>
    <t xml:space="preserve">No</t>
  </si>
  <si>
    <t xml:space="preserve">Function Name</t>
  </si>
  <si>
    <t xml:space="preserve">Sheet Name</t>
  </si>
  <si>
    <t xml:space="preserve">Description</t>
  </si>
  <si>
    <t xml:space="preserve">Pre-Condition</t>
  </si>
  <si>
    <t xml:space="preserve">Coach Management</t>
  </si>
  <si>
    <t xml:space="preserve">Test coach management functionalities, including: adding new coaches, viewing and searching the coach list, viewing coach details, updating coach information, managing seat layouts, and changing coach status (Maintenance / Active / Inactive).</t>
  </si>
  <si>
    <t xml:space="preserve">1. User is logged into the Staff Portal with a Manager role.
2. For testing coach creation/updating: At least one active Coach Type must exist in the system (to select vehicle configuration/seat capacity).
3. For testing detail view, updates, seat layout management, and status changes: At least one coach record must already exist in the database.</t>
  </si>
  <si>
    <t xml:space="preserve">Coach Type Management</t>
  </si>
  <si>
    <t xml:space="preserve">Test coach type management functionalities, including: creating new coach types with seat layout configuration, listing and filtering types, viewing and updating type details (name, active status), managing price timelines with date constraints, and deactivating types with business-rule guards.</t>
  </si>
  <si>
    <t xml:space="preserve">1. User is logged into the Staff Portal with a Manager role. 
2. For testing detail view, update, seat map, and price management: At least one coach type record must already exist in the database.</t>
  </si>
  <si>
    <t xml:space="preserve">Function C</t>
  </si>
  <si>
    <t xml:space="preserve">Workflow Name1</t>
  </si>
  <si>
    <t xml:space="preserve">Function D</t>
  </si>
  <si>
    <t xml:space="preserve">Workflow Name2</t>
  </si>
  <si>
    <t xml:space="preserve">Function E</t>
  </si>
  <si>
    <t xml:space="preserve">TEST STATISTICS</t>
  </si>
  <si>
    <t xml:space="preserve">Reviewer/Approver</t>
  </si>
  <si>
    <t xml:space="preserve">Notes</t>
  </si>
  <si>
    <t xml:space="preserve">&lt;List modules included in this release&gt; ex: Release 1 includes 2 modules: Module1 and Module2</t>
  </si>
  <si>
    <t xml:space="preserve">Module code</t>
  </si>
  <si>
    <t xml:space="preserve">Passed</t>
  </si>
  <si>
    <t xml:space="preserve">Failed</t>
  </si>
  <si>
    <t xml:space="preserve">Pending</t>
  </si>
  <si>
    <t xml:space="preserve">N/A</t>
  </si>
  <si>
    <t xml:space="preserve">Number of  test cases</t>
  </si>
  <si>
    <t xml:space="preserve">Booking</t>
  </si>
  <si>
    <t xml:space="preserve">Sub total</t>
  </si>
  <si>
    <t xml:space="preserve">Test coverage</t>
  </si>
  <si>
    <t xml:space="preserve">%</t>
  </si>
  <si>
    <t xml:space="preserve">Test successful coverage</t>
  </si>
  <si>
    <t xml:space="preserve">Workflow</t>
  </si>
  <si>
    <t xml:space="preserve">Test requirement</t>
  </si>
  <si>
    <t xml:space="preserve">&lt;Brief description about requirements which are tested in this sheet&gt;</t>
  </si>
  <si>
    <t xml:space="preserve">Number of TCs</t>
  </si>
  <si>
    <t xml:space="preserve">Testing Round</t>
  </si>
  <si>
    <t xml:space="preserve">Round 1</t>
  </si>
  <si>
    <t xml:space="preserve">Round 2</t>
  </si>
  <si>
    <t xml:space="preserve">Round 3</t>
  </si>
  <si>
    <t xml:space="preserve">Test Case ID</t>
  </si>
  <si>
    <t xml:space="preserve">Test Case Description</t>
  </si>
  <si>
    <t xml:space="preserve">Test Case Procedure</t>
  </si>
  <si>
    <t xml:space="preserve">Expected Results</t>
  </si>
  <si>
    <t xml:space="preserve">Pre-conditions</t>
  </si>
  <si>
    <t xml:space="preserve">Test date</t>
  </si>
  <si>
    <t xml:space="preserve">Tester</t>
  </si>
  <si>
    <t xml:space="preserve">Note</t>
  </si>
  <si>
    <t xml:space="preserve">Scenario A: Create Coach</t>
  </si>
  <si>
    <t xml:space="preserve">COACH-TC01</t>
  </si>
  <si>
    <t xml:space="preserve">Successful coach creation with all valid data</t>
  </si>
  <si>
    <t xml:space="preserve">1. Open the "Add New Coach" modal. 2. Enter license plate "73B-555.22", manufacturer "Thaco", year "2023". 3. Select a valid coach type. 4. Click "Save".</t>
  </si>
  <si>
    <t xml:space="preserve">The coach is successfully created. System redirects to the list; the new coach appears.</t>
  </si>
  <si>
    <t xml:space="preserve">1. User is logged in as Manager. 2. At least one active Coach Type must exist.</t>
  </si>
  <si>
    <t xml:space="preserve">COACH-TC02</t>
  </si>
  <si>
    <t xml:space="preserve">License plate with invalid format — province code starts with 0</t>
  </si>
  <si>
    <t xml:space="preserve">1. Enter license plate "01B-1234". 2. Click "Save".</t>
  </si>
  <si>
    <t xml:space="preserve">Display error: "License plate format is invalid..."</t>
  </si>
  <si>
    <t xml:space="preserve">Same as COACH-TC01.</t>
  </si>
  <si>
    <t xml:space="preserve">COACH-TC03</t>
  </si>
  <si>
    <t xml:space="preserve">License plate with invalid format — missing serial or digits</t>
  </si>
  <si>
    <t xml:space="preserve">1. Enter license plate "73B-12". 2. Click "Save".</t>
  </si>
  <si>
    <t xml:space="preserve">Display validation error message.</t>
  </si>
  <si>
    <t xml:space="preserve">COACH-TC04</t>
  </si>
  <si>
    <t xml:space="preserve">License plate auto-format on blur</t>
  </si>
  <si>
    <t xml:space="preserve">1. Enter "73b55522" into the license plate field. 2. Click outside the field (blur).</t>
  </si>
  <si>
    <t xml:space="preserve">The field automatically formats to uppercase with proper separators: "73B-555.22".</t>
  </si>
  <si>
    <t xml:space="preserve">COACH-TC05</t>
  </si>
  <si>
    <t xml:space="preserve">License plate with leading/trailing spaces — trim applied</t>
  </si>
  <si>
    <t xml:space="preserve">1. Enter " 73B-555.22 " (spaces on both sides). 2. Click "Save".</t>
  </si>
  <si>
    <t xml:space="preserve">Frontend trims the value before validation and submission. The coach is created with plate "73B-555.22".</t>
  </si>
  <si>
    <t xml:space="preserve">COACH-TC06</t>
  </si>
  <si>
    <t xml:space="preserve">Duplicate license plate already existing in the system</t>
  </si>
  <si>
    <t xml:space="preserve">1. Enter a license plate that already exists in the database. 2. Click "Save".</t>
  </si>
  <si>
    <t xml:space="preserve">Backend returns an error: "This license plate already exists."</t>
  </si>
  <si>
    <t xml:space="preserve">Same as COACH-TC01. 2. A coach with the target plate already exists.</t>
  </si>
  <si>
    <t xml:space="preserve">COACH-TC07</t>
  </si>
  <si>
    <t xml:space="preserve">Manufacture year exceeds the current year</t>
  </si>
  <si>
    <t xml:space="preserve">1. Enter year "2030". 2. Click "Save".</t>
  </si>
  <si>
    <t xml:space="preserve">Display error: "Manufacture year cannot be greater than the current year."</t>
  </si>
  <si>
    <t xml:space="preserve">COACH-TC08</t>
  </si>
  <si>
    <t xml:space="preserve">Manufacture year is less than 2000</t>
  </si>
  <si>
    <t xml:space="preserve">1. Enter year "1999". 2. Click "Save".</t>
  </si>
  <si>
    <t xml:space="preserve">Display error: "Manufacture year must be 2000 or later."</t>
  </si>
  <si>
    <t xml:space="preserve">COACH-TC09</t>
  </si>
  <si>
    <t xml:space="preserve">Manufacture year equals current year (valid upper boundary)</t>
  </si>
  <si>
    <t xml:space="preserve">1. Enter year = current year (e.g., "2026"). 2. Click "Save".</t>
  </si>
  <si>
    <t xml:space="preserve">No validation error. The coach is created successfully.</t>
  </si>
  <si>
    <t xml:space="preserve">COACH-TC10</t>
  </si>
  <si>
    <t xml:space="preserve">Manufacture year equals 2000 (valid lower boundary)</t>
  </si>
  <si>
    <t xml:space="preserve">1. Enter year "2000". 2. Click "Save".</t>
  </si>
  <si>
    <t xml:space="preserve">COACH-TC11</t>
  </si>
  <si>
    <t xml:space="preserve">Manufacture year field left empty</t>
  </si>
  <si>
    <t xml:space="preserve">1. Leave the year field blank. 2. Click "Save".</t>
  </si>
  <si>
    <t xml:space="preserve">Display validation error: "Manufacture year cannot be left empty."</t>
  </si>
  <si>
    <t xml:space="preserve">COACH-TC12</t>
  </si>
  <si>
    <t xml:space="preserve">Empty manufacturer field</t>
  </si>
  <si>
    <t xml:space="preserve">1. Leave the manufacturer field blank. 2. Click "Save".</t>
  </si>
  <si>
    <t xml:space="preserve">Display error: "Manufacturer cannot be left empty."</t>
  </si>
  <si>
    <t xml:space="preserve">COACH-TC13</t>
  </si>
  <si>
    <t xml:space="preserve">Manufacturer with whitespace only — trim applied</t>
  </si>
  <si>
    <t xml:space="preserve">1. Enter " " (spaces only) into the manufacturer field. 2. Click "Save".</t>
  </si>
  <si>
    <t xml:space="preserve">After trim the field is detected as blank. Display error: "Manufacturer cannot be left empty."</t>
  </si>
  <si>
    <t xml:space="preserve">COACH-TC14</t>
  </si>
  <si>
    <t xml:space="preserve">Manufacturer exceeds 100 characters — bypassed to BE</t>
  </si>
  <si>
    <t xml:space="preserve">1. Send a direct API request with manufacturer = 101-character string.</t>
  </si>
  <si>
    <t xml:space="preserve">Backend @Size(max=100) fires. Response contains fieldErrors.manufacturer = "Hãng xe không được vượt quá 100 ký tự."</t>
  </si>
  <si>
    <t xml:space="preserve">COACH-TC15</t>
  </si>
  <si>
    <t xml:space="preserve">No coach type selected — required field</t>
  </si>
  <si>
    <t xml:space="preserve">1. Open "Add New Coach" modal. 2. Fill all other fields with valid data but leave the coach type dropdown unselected. 3. Click "Save".</t>
  </si>
  <si>
    <t xml:space="preserve">Form submission is blocked. Display error: "Coach type is required." (FE guard or BE @NotNull on coachTypeId).</t>
  </si>
  <si>
    <t xml:space="preserve">1. User is logged in as Manager.</t>
  </si>
  <si>
    <t xml:space="preserve">Scenario B: View List and Filter</t>
  </si>
  <si>
    <t xml:space="preserve">COACH-TC16</t>
  </si>
  <si>
    <t xml:space="preserve">View default coach list</t>
  </si>
  <si>
    <t xml:space="preserve">1. Access the Coach List page.</t>
  </si>
  <si>
    <t xml:space="preserve">The list is displayed with pagination, defaulting to filter by "ACTIVE" status.</t>
  </si>
  <si>
    <t xml:space="preserve">User is logged in as Manager.</t>
  </si>
  <si>
    <t xml:space="preserve">COACH-TC17</t>
  </si>
  <si>
    <t xml:space="preserve">Filter by license plate (with leading/trailing spaces)</t>
  </si>
  <si>
    <t xml:space="preserve">1. Enter " 73B " (with spaces) into the license plate filter.</t>
  </si>
  <si>
    <t xml:space="preserve">The system trims spaces and correctly displays coaches matching "73B".</t>
  </si>
  <si>
    <t xml:space="preserve">COACH-TC18</t>
  </si>
  <si>
    <t xml:space="preserve">Filter by route name</t>
  </si>
  <si>
    <t xml:space="preserve">1. Enter a partial or full route name (e.g., "Hà Nội") into the route name filter.</t>
  </si>
  <si>
    <t xml:space="preserve">Only coaches operating on routes matching "Hà Nội" are displayed.</t>
  </si>
  <si>
    <t xml:space="preserve">User is logged in as Manager. At least one coach assigned to a route exists.</t>
  </si>
  <si>
    <t xml:space="preserve">COACH-TC19</t>
  </si>
  <si>
    <t xml:space="preserve">Filter by route name with leading/trailing spaces — trim applied</t>
  </si>
  <si>
    <t xml:space="preserve">1. Enter " Hà Nội " (with spaces) into the route name filter.</t>
  </si>
  <si>
    <t xml:space="preserve">The system trims spaces and returns coaches matching "Hà Nội".</t>
  </si>
  <si>
    <t xml:space="preserve">Same as COACH-TC18.</t>
  </si>
  <si>
    <t xml:space="preserve">COACH-TC20</t>
  </si>
  <si>
    <t xml:space="preserve">Filter by MAINTENANCE status</t>
  </si>
  <si>
    <t xml:space="preserve">1. Select "MAINTENANCE" from the status filter.</t>
  </si>
  <si>
    <t xml:space="preserve">Only coaches with MAINTENANCE status are displayed.</t>
  </si>
  <si>
    <t xml:space="preserve">COACH-TC21</t>
  </si>
  <si>
    <t xml:space="preserve">Filter by multiple statuses simultaneously</t>
  </si>
  <si>
    <t xml:space="preserve">1. Select both "ACTIVE" and "MAINTENANCE" from the status filter.</t>
  </si>
  <si>
    <t xml:space="preserve">Coaches with either ACTIVE or MAINTENANCE status are displayed.</t>
  </si>
  <si>
    <t xml:space="preserve">User is logged in as Manager. Coaches with ACTIVE and MAINTENANCE status both exist.</t>
  </si>
  <si>
    <t xml:space="preserve">COACH-TC22</t>
  </si>
  <si>
    <t xml:space="preserve">Filter by RETIRED status</t>
  </si>
  <si>
    <t xml:space="preserve">1. Select "RETIRED" from the status filter.</t>
  </si>
  <si>
    <t xml:space="preserve">Only coaches with RETIRED status are displayed.</t>
  </si>
  <si>
    <t xml:space="preserve">User is logged in as Manager. At least one retired coach exists.</t>
  </si>
  <si>
    <t xml:space="preserve">COACH-TC23</t>
  </si>
  <si>
    <t xml:space="preserve">Reset all filters</t>
  </si>
  <si>
    <t xml:space="preserve">1. Apply several filter values. 2. Click the "Reset Filters" button.</t>
  </si>
  <si>
    <t xml:space="preserve">Filters return to default values: ACTIVE status selected, all search inputs cleared.</t>
  </si>
  <si>
    <t xml:space="preserve">Scenario C: View Details and Update Coach Info</t>
  </si>
  <si>
    <t xml:space="preserve">COACH-TC24</t>
  </si>
  <si>
    <t xml:space="preserve">View coach details</t>
  </si>
  <si>
    <t xml:space="preserve">1. Click "Manage" to open a coach from the list.</t>
  </si>
  <si>
    <t xml:space="preserve">Complete details displayed: license plate, manufacturer, year, coach type, seat layout, and status history.</t>
  </si>
  <si>
    <t xml:space="preserve">1. User is logged in as Manager. 2. At least one coach exists.</t>
  </si>
  <si>
    <t xml:space="preserve">COACH-TC25</t>
  </si>
  <si>
    <t xml:space="preserve">Update with valid license plate</t>
  </si>
  <si>
    <t xml:space="preserve">1. Click "Edit". 2. Change license plate to "29A-1234". 3. Click "Save".</t>
  </si>
  <si>
    <t xml:space="preserve">Update successful. The new license plate is displayed.</t>
  </si>
  <si>
    <t xml:space="preserve">1. User is logged in as Manager. 2. Must be on Detail Page.</t>
  </si>
  <si>
    <t xml:space="preserve">COACH-TC26</t>
  </si>
  <si>
    <t xml:space="preserve">Update license plate — auto format on blur</t>
  </si>
  <si>
    <t xml:space="preserve">1. Click "Edit". 2. Enter "29a1234" into the license plate field. 3. Click outside the field (blur).</t>
  </si>
  <si>
    <t xml:space="preserve">The input automatically formats to "29A-1234".</t>
  </si>
  <si>
    <t xml:space="preserve">Same as COACH-TC25.</t>
  </si>
  <si>
    <t xml:space="preserve">COACH-TC27</t>
  </si>
  <si>
    <t xml:space="preserve">Update with invalid license plate — province code = 09</t>
  </si>
  <si>
    <t xml:space="preserve">1. Click "Edit". 2. Enter "09B-1234". 3. Click "Save".</t>
  </si>
  <si>
    <t xml:space="preserve">Display validation error for invalid license plate format.</t>
  </si>
  <si>
    <t xml:space="preserve">COACH-TC28</t>
  </si>
  <si>
    <t xml:space="preserve">Update manufacturer with whitespace only</t>
  </si>
  <si>
    <t xml:space="preserve">1. Click "Edit". 2. Enter " " (spaces) into the manufacturer field. 3. Click "Save".</t>
  </si>
  <si>
    <t xml:space="preserve">COACH-TC29</t>
  </si>
  <si>
    <t xml:space="preserve">Update manufacturer exceeds 100 characters — bypassed to BE</t>
  </si>
  <si>
    <t xml:space="preserve">COACH-TC30</t>
  </si>
  <si>
    <t xml:space="preserve">Update manufacture year with valid value</t>
  </si>
  <si>
    <t xml:space="preserve">1. Click "Edit". 2. Change year to "2022". 3. Click "Save".</t>
  </si>
  <si>
    <t xml:space="preserve">Update successful. New year is displayed on the detail page.</t>
  </si>
  <si>
    <t xml:space="preserve">COACH-TC31</t>
  </si>
  <si>
    <t xml:space="preserve">Update manufacture year exceeds current year</t>
  </si>
  <si>
    <t xml:space="preserve">1. Click "Edit". 2. Enter year "2030". 3. Click "Save".</t>
  </si>
  <si>
    <t xml:space="preserve">COACH-TC32</t>
  </si>
  <si>
    <t xml:space="preserve">Update manufacture year below 2000</t>
  </si>
  <si>
    <t xml:space="preserve">1. Click "Edit". 2. Enter year "1995". 3. Click "Save".</t>
  </si>
  <si>
    <t xml:space="preserve">COACH-TC33</t>
  </si>
  <si>
    <t xml:space="preserve">Update manufacture year field left empty</t>
  </si>
  <si>
    <t xml:space="preserve">1. Click "Edit". 2. Clear the year field to blank. 3. Click "Save".</t>
  </si>
  <si>
    <t xml:space="preserve">Scenario D: Manage Seat Layout</t>
  </si>
  <si>
    <t xml:space="preserve">COACH-TC34</t>
  </si>
  <si>
    <t xml:space="preserve">Change seat code to valid name — auto uppercase</t>
  </si>
  <si>
    <t xml:space="preserve">1. Enter "EDIT-SEAT" mode. 2. Type "lx01" into a seat code field.</t>
  </si>
  <si>
    <t xml:space="preserve">The input automatically converts to uppercase ("LX01"). Maximum allowed length is 4 characters.</t>
  </si>
  <si>
    <t xml:space="preserve">1. User is logged in as Manager. 2. At least one coach exists. 3. Must be on Detail Page.</t>
  </si>
  <si>
    <t xml:space="preserve">COACH-TC35</t>
  </si>
  <si>
    <t xml:space="preserve">Seat code with leading/trailing spaces — trim applied</t>
  </si>
  <si>
    <t xml:space="preserve">1. Enter " A01 " (spaces on both sides) into a seat code field. 2. Click "Save Seat Layout".</t>
  </si>
  <si>
    <t xml:space="preserve">Frontend trims the value to "A01" before validation. The code is saved without spaces.</t>
  </si>
  <si>
    <t xml:space="preserve">Same as COACH-TC34.</t>
  </si>
  <si>
    <t xml:space="preserve">COACH-TC36</t>
  </si>
  <si>
    <t xml:space="preserve">Change seat code to invalid format — numbers only</t>
  </si>
  <si>
    <t xml:space="preserve">1. Enter "01" (missing prefix letters). 2. Click "Save Seat Layout".</t>
  </si>
  <si>
    <t xml:space="preserve">Display error: "Seat code must consist of 1-2 letters followed by 2 digits."</t>
  </si>
  <si>
    <t xml:space="preserve">COACH-TC37</t>
  </si>
  <si>
    <t xml:space="preserve">Change seat code exceeding 4 characters</t>
  </si>
  <si>
    <t xml:space="preserve">1. Type "ABCD1" into the seat code field.</t>
  </si>
  <si>
    <t xml:space="preserve">The input field truncates or restricts typing beyond 4 characters.</t>
  </si>
  <si>
    <t xml:space="preserve">COACH-TC38</t>
  </si>
  <si>
    <t xml:space="preserve">Duplicate seat code within the same coach</t>
  </si>
  <si>
    <t xml:space="preserve">1. Set two different seats to the same code "A01". 2. Click "Save Seat Layout".</t>
  </si>
  <si>
    <t xml:space="preserve">Display error: "Duplicate seat codes are not allowed within the same coach."</t>
  </si>
  <si>
    <t xml:space="preserve">COACH-TC39</t>
  </si>
  <si>
    <t xml:space="preserve">Toggle active/inactive seat status</t>
  </si>
  <si>
    <t xml:space="preserve">1. Click an active seat (green) to turn it inactive (red). 2. Click "Save Layout".</t>
  </si>
  <si>
    <t xml:space="preserve">The seat status updates to unavailable for future trip creation.</t>
  </si>
  <si>
    <t xml:space="preserve">Scenario E: Manage Coach Status</t>
  </si>
  <si>
    <t xml:space="preserve">COACH-TC40</t>
  </si>
  <si>
    <t xml:space="preserve">Report maintenance with valid data — no expected end date</t>
  </si>
  <si>
    <t xml:space="preserve">1. Click "Report Maintenance". 2. Enter a reason (e.g., "Engine overhaul"). 3. Leave "Expected End Date" blank. 4. Click "Confirm".</t>
  </si>
  <si>
    <t xml:space="preserve">Coach status successfully changes to MAINTENANCE.</t>
  </si>
  <si>
    <t xml:space="preserve">1. User is logged in as Manager. 2. Must be on Detail Page. 3. Coach status is ACTIVE.</t>
  </si>
  <si>
    <t xml:space="preserve">COACH-TC41</t>
  </si>
  <si>
    <t xml:space="preserve">Report maintenance with valid data — with expected end date</t>
  </si>
  <si>
    <t xml:space="preserve">1. Click "Report Maintenance". 2. Enter a reason. 3. Set "Expected End Date" to a future datetime. 4. Click "Confirm".</t>
  </si>
  <si>
    <t xml:space="preserve">Coach status changes to MAINTENANCE. The expected end date is recorded and displayed.</t>
  </si>
  <si>
    <t xml:space="preserve">Same as COACH-TC40.</t>
  </si>
  <si>
    <t xml:space="preserve">COACH-TC42</t>
  </si>
  <si>
    <t xml:space="preserve">Report maintenance — reason field empty</t>
  </si>
  <si>
    <t xml:space="preserve">1. Click "Report Maintenance". 2. Leave the reason field blank. 3. Click "Confirm".</t>
  </si>
  <si>
    <t xml:space="preserve">Display validation error: "Maintenance reason cannot be left empty." No status change occurs.</t>
  </si>
  <si>
    <t xml:space="preserve">COACH-TC43</t>
  </si>
  <si>
    <t xml:space="preserve">Report maintenance — reason field whitespace only</t>
  </si>
  <si>
    <t xml:space="preserve">1. Click "Report Maintenance". 2. Enter " " (spaces only) into the reason field. 3. Click "Confirm".</t>
  </si>
  <si>
    <t xml:space="preserve">After trim the reason is blank. Display error: "Maintenance reason cannot be left empty."</t>
  </si>
  <si>
    <t xml:space="preserve">COACH-TC44</t>
  </si>
  <si>
    <t xml:space="preserve">Report maintenance — reason exceeds 500 characters</t>
  </si>
  <si>
    <t xml:space="preserve">1. Enter a 501-character string into the reason field. 2. Click "Confirm".</t>
  </si>
  <si>
    <t xml:space="preserve">Backend @Size(max=500) fires. Response contains fieldErrors.reason = "Lý do không được vượt quá 500 ký tự."</t>
  </si>
  <si>
    <t xml:space="preserve">COACH-TC45</t>
  </si>
  <si>
    <t xml:space="preserve">Report maintenance — FE blocks past datetime in picker</t>
  </si>
  <si>
    <t xml:space="preserve">1. Open the maintenance modal. 2. Check the datetime picker restrictions.</t>
  </si>
  <si>
    <t xml:space="preserve">The min selectable attribute of the datetime field equals the current date and time. Past values cannot be selected.</t>
  </si>
  <si>
    <t xml:space="preserve">COACH-TC46</t>
  </si>
  <si>
    <t xml:space="preserve">Report maintenance — expectedEndAt in the past — bypassed to BE</t>
  </si>
  <si>
    <t xml:space="preserve">1. Bypass the FE min attribute (DevTools or direct API). 2. Send expectedEndAt = a past datetime.</t>
  </si>
  <si>
    <t xml:space="preserve">Backend @AssertTrue isExpectedEndAtValid fires. Response contains fieldErrors.expectedEndAtValid = "Thời gian dự kiến hoàn thành phải ở tương lai."</t>
  </si>
  <si>
    <t xml:space="preserve">COACH-TC47</t>
  </si>
  <si>
    <t xml:space="preserve">Return coach to active service</t>
  </si>
  <si>
    <t xml:space="preserve">1. Click "Set Active". 2. Click "Confirm".</t>
  </si>
  <si>
    <t xml:space="preserve">Coach status changes back to ACTIVE.</t>
  </si>
  <si>
    <t xml:space="preserve">1. User is logged in as Manager. 2. Must be on Detail Page. 3. Coach status is MAINTENANCE.</t>
  </si>
  <si>
    <t xml:space="preserve">COACH-TC48</t>
  </si>
  <si>
    <t xml:space="preserve">Deactivate a coach that has active/scheduled trips</t>
  </si>
  <si>
    <t xml:space="preserve">1. Click "Deactivate/Retire". 2. Click "Confirm".</t>
  </si>
  <si>
    <t xml:space="preserve">Display error: "Cannot deactivate a coach with active or scheduled trips."</t>
  </si>
  <si>
    <t xml:space="preserve">1. User is logged in as Manager. 2. Must be on Detail Page. 3. Coach status is ACTIVE or MAINTENANCE. 4. Coach is assigned to at least one SCHEDULED trip.</t>
  </si>
  <si>
    <t xml:space="preserve">COACH-TC49</t>
  </si>
  <si>
    <t xml:space="preserve">Deactivate a valid coach with no trips</t>
  </si>
  <si>
    <t xml:space="preserve">1. Click "Deactivate/Retire". 2. Enter a reason. 3. Click "Confirm".</t>
  </si>
  <si>
    <t xml:space="preserve">Coach status changes to RETIRED. No further operational actions are available for this coach.</t>
  </si>
  <si>
    <t xml:space="preserve">Same pre-conditions as COACH-TC48, but with no scheduled trips assigned.</t>
  </si>
  <si>
    <t xml:space="preserve">Scenario A: Create Coach Type</t>
  </si>
  <si>
    <t xml:space="preserve">CTYPE-TC01</t>
  </si>
  <si>
    <t xml:space="preserve">Successful creation with valid data</t>
  </si>
  <si>
    <t xml:space="preserve">1. Navigate to Coach Types → click "+ Add New Coach Type". 
2. Enter name "Limousine VIP 22 Seats", price "500000", configure 2 floors × 5 rows × 2 cols, leave at least 1 SEAT cell. 
3. Click "Save &amp; Activate".</t>
  </si>
  <si>
    <t xml:space="preserve">The coach type is created successfully. System redirects to the list; the new type appears with correct name, price, and seat count.</t>
  </si>
  <si>
    <t xml:space="preserve">CTYPE-TC02</t>
  </si>
  <si>
    <t xml:space="preserve">Duplicate coach type name — exact case-insensitive match</t>
  </si>
  <si>
    <t xml:space="preserve">1. Open the Create page. 
2. Enter name "limousine vip 22 seats" (all lowercase). 
3. Click "Save &amp; Activate".</t>
  </si>
  <si>
    <t xml:space="preserve">Backend returns an error: "Tên loại xe đã tồn tại trong hệ thống!". Toast notification appears at top-right corner.</t>
  </si>
  <si>
    <t xml:space="preserve">1. User is logged in as Manager. 
2. A coach type named "Limousine VIP 22 Seats" already exists.</t>
  </si>
  <si>
    <t xml:space="preserve">CTYPE-TC03</t>
  </si>
  <si>
    <t xml:space="preserve">Duplicate name with leading/trailing spaces — trim must be applied</t>
  </si>
  <si>
    <t xml:space="preserve">1. Enter " Limousine VIP 22 Seats " (spaces on both sides). 
2. Click "Save &amp; Activate".</t>
  </si>
  <si>
    <t xml:space="preserve">Backend detects the duplicate after trimming. Toast shows the duplicate error. The trimmed value is confirmed in the API payload.</t>
  </si>
  <si>
    <t xml:space="preserve">1. Same as CTYPE-TC02.</t>
  </si>
  <si>
    <t xml:space="preserve">CTYPE-TC04</t>
  </si>
  <si>
    <t xml:space="preserve">Name with only whitespace characters</t>
  </si>
  <si>
    <t xml:space="preserve">1. Enter " " (spaces only) into the name field. 
2. Click "Save &amp; Activate".</t>
  </si>
  <si>
    <t xml:space="preserve">Frontend detects blank name after trim. Toast shows "Tên loại xe không được để trống." No API call is made.</t>
  </si>
  <si>
    <t xml:space="preserve">CTYPE-TC05</t>
  </si>
  <si>
    <t xml:space="preserve">Name exceeds 100 characters</t>
  </si>
  <si>
    <t xml:space="preserve">1. Paste a 101-character string into the name field. 
2. Click "Save &amp; Activate".</t>
  </si>
  <si>
    <t xml:space="preserve">The maxLength={100} attribute prevents typing beyond 100 characters. If bypassed via direct API: backend returns fieldErrors.coachTypeName with the size-exceeded message.</t>
  </si>
  <si>
    <t xml:space="preserve">CTYPE-TC06</t>
  </si>
  <si>
    <t xml:space="preserve">Default price = 0 (boundary — allowed by @PositiveOrZero)</t>
  </si>
  <si>
    <t xml:space="preserve">1. Enter a valid name. 
2. Enter price = "0". 
3. Configure a valid seat layout. 
4. Click "Save &amp; Activate".</t>
  </si>
  <si>
    <t xml:space="preserve">Coach type is created successfully. The detail page shows "---" for current price (no active price entry yet).</t>
  </si>
  <si>
    <t xml:space="preserve">CTYPE-TC07</t>
  </si>
  <si>
    <t xml:space="preserve">Default price is negative — blocked by FE</t>
  </si>
  <si>
    <t xml:space="preserve">1. Enter a valid name. 
2. Enter price = "-100". 
3. Click "Save &amp; Activate".</t>
  </si>
  <si>
    <t xml:space="preserve">The min="0" attribute on the price input prevents the negative value from being submitted. The field rejects values below 0.</t>
  </si>
  <si>
    <t xml:space="preserve">CTYPE-TC08</t>
  </si>
  <si>
    <t xml:space="preserve">Default price is negative — bypassed to BE</t>
  </si>
  <si>
    <t xml:space="preserve">1. Send a direct API request with seatPrice: -1.</t>
  </si>
  <si>
    <t xml:space="preserve">Backend @PositiveOrZero fires. Response contains fieldErrors.seatPrice = "Giá tiền không được nhỏ hơn 0."</t>
  </si>
  <si>
    <t xml:space="preserve">CTYPE-TC09</t>
  </si>
  <si>
    <t xml:space="preserve">Default price exceeds 100,000,000 — blocked by FE</t>
  </si>
  <si>
    <t xml:space="preserve">1. Enter price = "200000000" (200 million). 
2. Click "Save &amp; Activate".</t>
  </si>
  <si>
    <t xml:space="preserve">The max="100000000" attribute prevents submission. FE blocks the out-of-range value.</t>
  </si>
  <si>
    <t xml:space="preserve">CTYPE-TC10</t>
  </si>
  <si>
    <t xml:space="preserve">Default price exceeds 100,000,000 — bypassed to BE</t>
  </si>
  <si>
    <t xml:space="preserve">1. Send a direct API request with seatPrice: 200000000.</t>
  </si>
  <si>
    <t xml:space="preserve">Backend @DecimalMax(100000000) fires. Response contains fieldErrors.seatPrice = "Giá tiền không được vượt quá 100.000.000 đ."</t>
  </si>
  <si>
    <t xml:space="preserve">CTYPE-TC11</t>
  </si>
  <si>
    <t xml:space="preserve">Price field left empty — required field</t>
  </si>
  <si>
    <t xml:space="preserve">1. Enter a valid name, leave the price field blank. 
2. Click "Save &amp; Activate".</t>
  </si>
  <si>
    <t xml:space="preserve">"required" attribute prevents HTML form submission. If bypassed to BE: fieldErrors.seatPrice = "Giá tiền không được để trống."</t>
  </si>
  <si>
    <t xml:space="preserve">CTYPE-TC12</t>
  </si>
  <si>
    <t xml:space="preserve">Dimension inputs at minimum boundaries (1 floor × 1 row × 1 col)</t>
  </si>
  <si>
    <t xml:space="preserve">1. Set totalFloors = 1, rows = 1, cols = 1. 
2. Leave the 1 cell as SEAT. 
3. Enter valid name and price. 
4. Click "Save &amp; Activate".</t>
  </si>
  <si>
    <t xml:space="preserve">Coach type is created with 1 total seat. Seat map displays a single-cell layout.</t>
  </si>
  <si>
    <t xml:space="preserve">CTYPE-TC13</t>
  </si>
  <si>
    <t xml:space="preserve">Dimension inputs at maximum boundaries (2 floors × 11 rows × 5 cols)</t>
  </si>
  <si>
    <t xml:space="preserve">1. Set totalFloors = 2, rows = 11, cols = 5. 
2. Leave all cells as SEAT. 
3. Enter valid name and price. 
4. Click "Save &amp; Activate".</t>
  </si>
  <si>
    <t xml:space="preserve">Toast shows "Số ghế không thể &lt;1 hoặc &gt;44 ghế".</t>
  </si>
  <si>
    <t xml:space="preserve">CTYPE-TC14</t>
  </si>
  <si>
    <t xml:space="preserve">Missing a required dimension field (rows left blank)</t>
  </si>
  <si>
    <t xml:space="preserve">1. Clear the "rows" input to empty. 
2. Click "Save &amp; Activate".</t>
  </si>
  <si>
    <t xml:space="preserve">Frontend detects empty dimension. Toast shows "Vui lòng nhập đầy đủ số tầng, số hàng và số cột!" No API call is made.</t>
  </si>
  <si>
    <t xml:space="preserve">CTYPE-TC15</t>
  </si>
  <si>
    <t xml:space="preserve">Seat layout with zero SEAT cells (all marked as empty space)</t>
  </si>
  <si>
    <t xml:space="preserve">1. Enter valid name and price. 
2. Click all cells to toggle them to "empty". 
3. Click "Save &amp; Activate".</t>
  </si>
  <si>
    <t xml:space="preserve">Frontend blocks: Toast shows "Vui lòng giữ lại ít nhất 1 vị trí ghế ngồi trên sơ đồ!"</t>
  </si>
  <si>
    <t xml:space="preserve">CTYPE-TC16</t>
  </si>
  <si>
    <t xml:space="preserve">Error Toast is visible when user is scrolled down to seat map area</t>
  </si>
  <si>
    <t xml:space="preserve">1. Enter a duplicate name and valid price/layout. 
2. Scroll fully down to the seat map section. 
3. Click "Save &amp; Activate".</t>
  </si>
  <si>
    <t xml:space="preserve">Toast notification appears fixed at the top-right corner of the viewport — visible regardless of scroll position.</t>
  </si>
  <si>
    <t xml:space="preserve">CTYPE-TC17</t>
  </si>
  <si>
    <t xml:space="preserve">View default coach type list</t>
  </si>
  <si>
    <t xml:space="preserve">1. Navigate to the Coach Types list page.</t>
  </si>
  <si>
    <t xml:space="preserve">The list loads with pagination, defaulting to showing active types. Current price and seat count are displayed per row.</t>
  </si>
  <si>
    <t xml:space="preserve">1. User is logged in as Manager. 
2. At least one coach type exists.</t>
  </si>
  <si>
    <t xml:space="preserve">CTYPE-TC18</t>
  </si>
  <si>
    <t xml:space="preserve">Filter by name with leading/trailing spaces</t>
  </si>
  <si>
    <t xml:space="preserve">1. Enter " Limousine " (with surrounding spaces) into the name filter field.</t>
  </si>
  <si>
    <t xml:space="preserve">The frontend trims the value before sending to the API. The correct coach type "Limousine" is returned in results.</t>
  </si>
  <si>
    <t xml:space="preserve">1. User is logged in as Manager. 
2. A coach type named "Limousine" exists.</t>
  </si>
  <si>
    <t xml:space="preserve">CTYPE-TC19</t>
  </si>
  <si>
    <t xml:space="preserve">Filter by valid price range</t>
  </si>
  <si>
    <t xml:space="preserve">1. Enter Min Price = "100000" and Max Price = "600000".</t>
  </si>
  <si>
    <t xml:space="preserve">Only coach types whose current price falls within [100,000 – 600,000] VND are shown.</t>
  </si>
  <si>
    <t xml:space="preserve">1. User is logged in as Manager. 
2. Coach types with various prices exist.</t>
  </si>
  <si>
    <t xml:space="preserve">CTYPE-TC20</t>
  </si>
  <si>
    <t xml:space="preserve">Filter by price range where minPrice &gt; maxPrice</t>
  </si>
  <si>
    <t xml:space="preserve">1. Enter Min Price = "500000" and Max Price = "100000".</t>
  </si>
  <si>
    <t xml:space="preserve">Backend returns error: "Giá tối thiểu không thể lớn hơn Giá tối đa!". Error is displayed in the Alert block above the table.</t>
  </si>
  <si>
    <t xml:space="preserve">CTYPE-TC21</t>
  </si>
  <si>
    <t xml:space="preserve">Filter by valid seat range</t>
  </si>
  <si>
    <t xml:space="preserve">1. Enter Min Seats = "10" and Max Seats = "40".</t>
  </si>
  <si>
    <t xml:space="preserve">Only coach types whose totalSeat falls within [10, 40] are returned.</t>
  </si>
  <si>
    <t xml:space="preserve">1. User is logged in as Manager. 
2. Coach types with various seat counts exist.</t>
  </si>
  <si>
    <t xml:space="preserve">CTYPE-TC22</t>
  </si>
  <si>
    <t xml:space="preserve">Filter where minSeats &gt; maxSeats</t>
  </si>
  <si>
    <t xml:space="preserve">1. Enter Min Seats = "40" and Max Seats = "10".</t>
  </si>
  <si>
    <t xml:space="preserve">Backend returns error: "Số ghế tối thiểu không thể lớn hơn Số ghế tối đa!". Error displayed in the Alert block above the table.</t>
  </si>
  <si>
    <t xml:space="preserve">CTYPE-TC23</t>
  </si>
  <si>
    <t xml:space="preserve">Filter by inactive status</t>
  </si>
  <si>
    <t xml:space="preserve">1. Select "Inactive" from the active status filter.</t>
  </si>
  <si>
    <t xml:space="preserve">Only deactivated coach types are displayed in the list.</t>
  </si>
  <si>
    <t xml:space="preserve">1. User is logged in as Manager. 
2. At least one inactive coach type exists.</t>
  </si>
  <si>
    <t xml:space="preserve">CTYPE-TC24</t>
  </si>
  <si>
    <t xml:space="preserve">1. Apply several filter values. 2. Click the "Reset" button.</t>
  </si>
  <si>
    <t xml:space="preserve">All filter fields clear to defaults (isActive = true, name empty, price/seat ranges empty). The full active list reloads.</t>
  </si>
  <si>
    <t xml:space="preserve">CTYPE-TC25</t>
  </si>
  <si>
    <t xml:space="preserve">Filter with negative minPrice — bypassed to BE</t>
  </si>
  <si>
    <t xml:space="preserve">1. Send API request with minPrice: -1.</t>
  </si>
  <si>
    <t xml:space="preserve">Backend @PositiveOrZero fires. Response contains fieldErrors.minPrice = "Giá thấp nhất phải lớn hơn hoặc bằng 0." Displayed in field-error list inside the Alert.</t>
  </si>
  <si>
    <t xml:space="preserve">CTYPE-TC26</t>
  </si>
  <si>
    <t xml:space="preserve">Filter with maxPrice exceeding 100,000,000 — bypassed to BE</t>
  </si>
  <si>
    <t xml:space="preserve">1. Send API request with maxPrice: 200000000.</t>
  </si>
  <si>
    <t xml:space="preserve">Backend @DecimalMax(100000000) fires. Response contains fieldErrors.maxPrice = "Giá cao nhất không được vượt quá 100.000.000 đ." Displayed in field-error list inside the Alert.</t>
  </si>
  <si>
    <t xml:space="preserve">CTYPE-TC27</t>
  </si>
  <si>
    <t xml:space="preserve">Filter with negative minSeats — bypassed to BE</t>
  </si>
  <si>
    <t xml:space="preserve">1. Send API request with minSeats: -1.</t>
  </si>
  <si>
    <t xml:space="preserve">Backend @PositiveOrZero fires. Response contains fieldErrors.minSeats = "Số ghế tối thiểu không được nhỏ hơn 0." Displayed in field-error list inside the Alert.</t>
  </si>
  <si>
    <t xml:space="preserve">CTYPE-TC28</t>
  </si>
  <si>
    <t xml:space="preserve">Filter with maxSeats exceeding 200 — bypassed to BE</t>
  </si>
  <si>
    <t xml:space="preserve">1. Send API request with maxSeats: 999.</t>
  </si>
  <si>
    <t xml:space="preserve">Backend @Max(200) fires. Response contains fieldErrors.maxSeats = "Số ghế tối đa không được vượt quá 200." Displayed in field-error list inside the Alert.</t>
  </si>
  <si>
    <t xml:space="preserve">CTYPE-TC29</t>
  </si>
  <si>
    <t xml:space="preserve">Filter with name exceeding 100 characters — bypassed to BE</t>
  </si>
  <si>
    <t xml:space="preserve">1. Send API request with coachTypeName = 101-character string.</t>
  </si>
  <si>
    <t xml:space="preserve">Backend @Size(max=100) fires. Response contains fieldErrors.coachTypeName = "Tên sơ đồ tìm kiếm không được vượt quá 100 ký tự." Displayed in field-error list inside the Alert.</t>
  </si>
  <si>
    <t xml:space="preserve">Scenario C: View Details and Update Coach Type Info</t>
  </si>
  <si>
    <t xml:space="preserve">CTYPE-TC30</t>
  </si>
  <si>
    <t xml:space="preserve">Update name with valid value</t>
  </si>
  <si>
    <t xml:space="preserve">1. Click "Edit". 
2. Change the name to "Sleeper Bus 34 Seats". 
3. Click "Save".</t>
  </si>
  <si>
    <t xml:space="preserve">Name updated successfully. Page refreshes and displays the new name.</t>
  </si>
  <si>
    <t xml:space="preserve">1. User is logged in as Manager. 
2. On the Coach Type Detail page → Info tab.</t>
  </si>
  <si>
    <t xml:space="preserve">CTYPE-TC31</t>
  </si>
  <si>
    <t xml:space="preserve">Update name with whitespace-only value</t>
  </si>
  <si>
    <t xml:space="preserve">1. Click "Edit". 
2. Clear the name field and enter " " (spaces only). 
3. Click "Save".</t>
  </si>
  <si>
    <t xml:space="preserve">Frontend trims and detects blank. Toast shows "Tên loại xe không được để trống." No API call is made.</t>
  </si>
  <si>
    <t xml:space="preserve">1. Same as CTYPE-TC30.</t>
  </si>
  <si>
    <t xml:space="preserve">CTYPE-TC32</t>
  </si>
  <si>
    <t xml:space="preserve">Update name to one that already exists in the system</t>
  </si>
  <si>
    <t xml:space="preserve">1. Click "Edit". 
2. Enter the existing name of another type. 
3. Click "Save".</t>
  </si>
  <si>
    <t xml:space="preserve">Backend returns error: "Tên loại xe đã tồn tại trong hệ thống!". Toast appears at top-right of screen.</t>
  </si>
  <si>
    <t xml:space="preserve">1. Same as CTYPE-TC30. 
2. Another coach type with the target name already exists.</t>
  </si>
  <si>
    <t xml:space="preserve">CTYPE-TC33</t>
  </si>
  <si>
    <t xml:space="preserve">Deactivate a coach type that still has active coaches assigned</t>
  </si>
  <si>
    <t xml:space="preserve">1. Click "Edit". 
2. Toggle the active switch to OFF. 
3. Click "Save".</t>
  </si>
  <si>
    <t xml:space="preserve">A deactivation-blocked dialog appears listing the active coaches preventing deactivation. The type remains active.</t>
  </si>
  <si>
    <t xml:space="preserve">1. User is logged in as Manager. 
2. The coach type has at least one active coach using it.</t>
  </si>
  <si>
    <t xml:space="preserve">CTYPE-TC34</t>
  </si>
  <si>
    <t xml:space="preserve">Deactivate a coach type with no active coaches</t>
  </si>
  <si>
    <t xml:space="preserve">1. Click "Edit". 
2. Toggle active switch to OFF. 
3. Click "Save".</t>
  </si>
  <si>
    <t xml:space="preserve">The type is deactivated. Badge changes to "Ngừng hoạt động".</t>
  </si>
  <si>
    <t xml:space="preserve">1. User is logged in as Manager. 
2. The coach type has no active coaches.</t>
  </si>
  <si>
    <t xml:space="preserve">Scenario D: Manage Price Timeline</t>
  </si>
  <si>
    <t xml:space="preserve">CTYPE-TC35</t>
  </si>
  <si>
    <t xml:space="preserve">Add price entry with valid future start date and no end date</t>
  </si>
  <si>
    <t xml:space="preserve">1. Enter price = "600000". 
2. Set start date = tomorrow at 08:00. 
3. Leave end date blank. 
4. Click "Add Price".</t>
  </si>
  <si>
    <t xml:space="preserve">Price entry is created. New entry appears in the timeline with status "UPCOMING".</t>
  </si>
  <si>
    <t xml:space="preserve">1. User is logged in as Manager. 
2. On Detail page → Prices tab.</t>
  </si>
  <si>
    <t xml:space="preserve">CTYPE-TC36</t>
  </si>
  <si>
    <t xml:space="preserve">Add price with valid start and end date (end &gt; start)</t>
  </si>
  <si>
    <t xml:space="preserve">1. Enter price = "400000". 
2. Set start = "2026-09-01T08:00", end = "2026-12-31T23:59". 
3. Click "Add Price".</t>
  </si>
  <si>
    <t xml:space="preserve">Price entry is created with both dates. Entry appears in the timeline with status "UPCOMING".</t>
  </si>
  <si>
    <t xml:space="preserve">1. Same as CTYPE-TC35.</t>
  </si>
  <si>
    <t xml:space="preserve">CTYPE-TC37</t>
  </si>
  <si>
    <t xml:space="preserve">Add price with start date more than 5 minutes in the past — bypassed to BE</t>
  </si>
  <si>
    <t xml:space="preserve">1. Bypass the FE min attribute (DevTools or direct API). 
2. Set start date = 2 hours ago. 
3. Click "Add Price".</t>
  </si>
  <si>
    <t xml:space="preserve">Backend @AssertTrue isStartEffectiveDateValid fires. Response contains fieldErrors.startEffectiveDateValid = "Ngày bắt đầu hiệu lực không được ở quá khứ." Toast shows field-level error.</t>
  </si>
  <si>
    <t xml:space="preserve">CTYPE-TC39</t>
  </si>
  <si>
    <t xml:space="preserve">FE blocks: end date before start date</t>
  </si>
  <si>
    <t xml:space="preserve">1. Enter start = "2026-08-10T10:00". 
2. Enter end = "2026-08-01T10:00" (earlier than start). 
3. Click "Add Price".</t>
  </si>
  <si>
    <t xml:space="preserve">Frontend detects endDate &lt; startDate. Toast shows "Ngày kết thúc hiệu lực phải sau ngày bắt đầu!" No API call is made.</t>
  </si>
  <si>
    <t xml:space="preserve">CTYPE-TC40</t>
  </si>
  <si>
    <t xml:space="preserve">Add overlapping price range — blocked by service</t>
  </si>
  <si>
    <t xml:space="preserve">1. Enter a new price with start/end dates that overlap the existing ACTIVE range. 
2. Click "Add Price".</t>
  </si>
  <si>
    <t xml:space="preserve">Service detects overlap. Returns an error message explaining the conflict. Toast displays the message.</t>
  </si>
  <si>
    <t xml:space="preserve">1. Same as CTYPE-TC35.0
2. An ACTIVE price entry covering a date range already exists.</t>
  </si>
  <si>
    <t xml:space="preserve">Scenario E: Manage Seat Map</t>
  </si>
  <si>
    <t xml:space="preserve">CTYPE-TC41</t>
  </si>
  <si>
    <t xml:space="preserve">Update seat map successfully</t>
  </si>
  <si>
    <t xml:space="preserve">1. Click "Edit Seat Map". 
2. Adjust rows = 6, cols = 3. 
3. Toggle one cell to "empty". 
4. Click "Save".</t>
  </si>
  <si>
    <t xml:space="preserve">Seat map updated. Summary shows new dimensions and total seat count.</t>
  </si>
  <si>
    <t xml:space="preserve">1. User is logged in as Manager. 
2. On Detail page → Seat Map tab. 
3. canEditSeatLayout = true (no coaches assigned to this type yet).</t>
  </si>
  <si>
    <t xml:space="preserve">CTYPE-TC42</t>
  </si>
  <si>
    <t xml:space="preserve">Save seat map with zero SEAT cells</t>
  </si>
  <si>
    <t xml:space="preserve">1. Click "Edit Seat Map". 
2. Toggle all cells to empty. 
3. Click "Save".</t>
  </si>
  <si>
    <t xml:space="preserve">1. Same as CTYPE-TC41.</t>
  </si>
  <si>
    <t xml:space="preserve">CTYPE-TC43</t>
  </si>
  <si>
    <t xml:space="preserve">Seat map edit is disabled for types already in production use</t>
  </si>
  <si>
    <t xml:space="preserve">1. Navigate to the Seat Map tab.</t>
  </si>
  <si>
    <t xml:space="preserve">The "Edit Seat Map" button is disabled (grayed out). Hovering shows a Tooltip: "Không thể sửa sơ đồ vì loại xe này đã được đưa vào sử dụng thực tế."</t>
  </si>
  <si>
    <t xml:space="preserve">1. User is logged in as Manager. 
2. The coach type is assigned to at least one active coach.</t>
  </si>
</sst>
</file>

<file path=xl/styles.xml><?xml version="1.0" encoding="utf-8"?>
<styleSheet xmlns="http://schemas.openxmlformats.org/spreadsheetml/2006/main">
  <numFmts count="9">
    <numFmt numFmtId="164" formatCode="General"/>
    <numFmt numFmtId="165" formatCode="m/d/yyyy"/>
    <numFmt numFmtId="166" formatCode="d\-mmm\-yy;@"/>
    <numFmt numFmtId="167" formatCode="@"/>
    <numFmt numFmtId="168" formatCode="d\-mmm\-yy"/>
    <numFmt numFmtId="169" formatCode="0"/>
    <numFmt numFmtId="170" formatCode="0.00%"/>
    <numFmt numFmtId="171" formatCode="0%"/>
    <numFmt numFmtId="172" formatCode="0.00"/>
  </numFmts>
  <fonts count="29">
    <font>
      <sz val="11"/>
      <name val="ＭＳ Ｐゴシック"/>
      <family val="0"/>
      <charset val="128"/>
    </font>
    <font>
      <sz val="10"/>
      <name val="Arial"/>
      <family val="0"/>
    </font>
    <font>
      <sz val="10"/>
      <name val="Arial"/>
      <family val="0"/>
    </font>
    <font>
      <sz val="10"/>
      <name val="Arial"/>
      <family val="0"/>
    </font>
    <font>
      <sz val="11"/>
      <name val="ＭＳ Ｐゴシック"/>
      <family val="2"/>
      <charset val="128"/>
    </font>
    <font>
      <sz val="11"/>
      <name val="ＭＳ Ｐゴシック"/>
      <family val="3"/>
      <charset val="128"/>
    </font>
    <font>
      <sz val="9"/>
      <name val="ＭＳ ゴシック"/>
      <family val="3"/>
      <charset val="128"/>
    </font>
    <font>
      <sz val="10"/>
      <name val="Tahoma"/>
      <family val="2"/>
      <charset val="1"/>
    </font>
    <font>
      <b val="true"/>
      <sz val="26"/>
      <color rgb="FFFF0000"/>
      <name val="Tahoma"/>
      <family val="2"/>
      <charset val="1"/>
    </font>
    <font>
      <b val="true"/>
      <sz val="20"/>
      <color rgb="FF000000"/>
      <name val="Tahoma"/>
      <family val="2"/>
      <charset val="1"/>
    </font>
    <font>
      <b val="true"/>
      <sz val="10"/>
      <color rgb="FF993300"/>
      <name val="Tahoma"/>
      <family val="2"/>
      <charset val="1"/>
    </font>
    <font>
      <i val="true"/>
      <sz val="10"/>
      <color rgb="FF008000"/>
      <name val="Tahoma"/>
      <family val="2"/>
      <charset val="1"/>
    </font>
    <font>
      <b val="true"/>
      <sz val="10"/>
      <name val="Tahoma"/>
      <family val="2"/>
      <charset val="1"/>
    </font>
    <font>
      <i val="true"/>
      <sz val="10"/>
      <name val="Tahoma"/>
      <family val="2"/>
      <charset val="1"/>
    </font>
    <font>
      <b val="true"/>
      <sz val="10"/>
      <color rgb="FFFFFFFF"/>
      <name val="Tahoma"/>
      <family val="2"/>
      <charset val="1"/>
    </font>
    <font>
      <sz val="10"/>
      <name val="Arial"/>
      <family val="2"/>
    </font>
    <font>
      <sz val="8"/>
      <color rgb="FF000000"/>
      <name val="Tahoma"/>
      <family val="2"/>
      <charset val="1"/>
    </font>
    <font>
      <b val="true"/>
      <sz val="8"/>
      <color rgb="FF000000"/>
      <name val="Tahoma"/>
      <family val="2"/>
      <charset val="1"/>
    </font>
    <font>
      <b val="true"/>
      <sz val="10"/>
      <color rgb="FF000000"/>
      <name val="Tahoma"/>
      <family val="2"/>
      <charset val="1"/>
    </font>
    <font>
      <b val="true"/>
      <sz val="10"/>
      <color rgb="FFFF0000"/>
      <name val="Tahoma"/>
      <family val="2"/>
      <charset val="1"/>
    </font>
    <font>
      <u val="single"/>
      <sz val="11"/>
      <color rgb="FF0000FF"/>
      <name val="ＭＳ Ｐゴシック"/>
      <family val="3"/>
      <charset val="128"/>
    </font>
    <font>
      <u val="single"/>
      <sz val="10"/>
      <color rgb="FF0000FF"/>
      <name val="Tahoma"/>
      <family val="2"/>
      <charset val="1"/>
    </font>
    <font>
      <sz val="10"/>
      <color rgb="FFFFFFFF"/>
      <name val="Tahoma"/>
      <family val="2"/>
      <charset val="1"/>
    </font>
    <font>
      <b val="true"/>
      <sz val="10"/>
      <color rgb="FF0000FF"/>
      <name val="Tahoma"/>
      <family val="2"/>
      <charset val="1"/>
    </font>
    <font>
      <sz val="10"/>
      <color rgb="FF000000"/>
      <name val="Tahoma"/>
      <family val="2"/>
      <charset val="1"/>
    </font>
    <font>
      <sz val="10"/>
      <color rgb="FFFF0000"/>
      <name val="Tahoma"/>
      <family val="2"/>
      <charset val="1"/>
    </font>
    <font>
      <b val="true"/>
      <i val="true"/>
      <sz val="10"/>
      <name val="Tahoma"/>
      <family val="2"/>
      <charset val="1"/>
    </font>
    <font>
      <b val="true"/>
      <sz val="10"/>
      <name val="Arial"/>
      <family val="2"/>
      <charset val="1"/>
    </font>
    <font>
      <sz val="10"/>
      <name val="Arial"/>
      <family val="2"/>
      <charset val="1"/>
    </font>
  </fonts>
  <fills count="7">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theme="6" tint="-0.25"/>
        <bgColor rgb="FF808080"/>
      </patternFill>
    </fill>
    <fill>
      <patternFill patternType="solid">
        <fgColor rgb="FFCCFFFF"/>
        <bgColor rgb="FFCCFFFF"/>
      </patternFill>
    </fill>
  </fills>
  <borders count="34">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hair"/>
      <right/>
      <top style="thin"/>
      <bottom style="hair"/>
      <diagonal/>
    </border>
    <border diagonalUp="false" diagonalDown="false">
      <left/>
      <right style="thin"/>
      <top style="hair"/>
      <bottom style="hair"/>
      <diagonal/>
    </border>
    <border diagonalUp="false" diagonalDown="false">
      <left/>
      <right style="medium"/>
      <top/>
      <bottom/>
      <diagonal/>
    </border>
    <border diagonalUp="false" diagonalDown="false">
      <left/>
      <right style="hair"/>
      <top style="thin"/>
      <bottom style="hair"/>
      <diagonal/>
    </border>
    <border diagonalUp="false" diagonalDown="false">
      <left style="hair"/>
      <right style="medium"/>
      <top style="thin"/>
      <bottom style="hair"/>
      <diagonal/>
    </border>
    <border diagonalUp="false" diagonalDown="false">
      <left/>
      <right style="hair"/>
      <top style="hair"/>
      <bottom style="hair"/>
      <diagonal/>
    </border>
    <border diagonalUp="false" diagonalDown="false">
      <left style="hair"/>
      <right style="medium"/>
      <top style="hair"/>
      <bottom style="hair"/>
      <diagonal/>
    </border>
    <border diagonalUp="false" diagonalDown="false">
      <left style="hair"/>
      <right/>
      <top style="hair"/>
      <bottom style="hair"/>
      <diagonal/>
    </border>
    <border diagonalUp="false" diagonalDown="false">
      <left/>
      <right style="hair"/>
      <top style="hair"/>
      <bottom style="thin"/>
      <diagonal/>
    </border>
    <border diagonalUp="false" diagonalDown="false">
      <left style="hair"/>
      <right style="medium"/>
      <top style="hair"/>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top/>
      <bottom/>
      <diagonal/>
    </border>
    <border diagonalUp="false" diagonalDown="false">
      <left/>
      <right/>
      <top/>
      <bottom style="thin"/>
      <diagonal/>
    </border>
    <border diagonalUp="false" diagonalDown="false">
      <left/>
      <right style="thin"/>
      <top/>
      <bottom style="thin"/>
      <diagonal/>
    </border>
    <border diagonalUp="false" diagonalDown="false">
      <left/>
      <right/>
      <top style="thin"/>
      <bottom style="thin"/>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left" vertical="bottom" textRotation="0" wrapText="false" indent="1"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4" fontId="8" fillId="0" borderId="1" xfId="23" applyFont="true" applyBorder="true" applyAlignment="true" applyProtection="false">
      <alignment horizontal="center" vertical="center" textRotation="0" wrapText="false" indent="0" shrinkToFit="false"/>
      <protection locked="true" hidden="false"/>
    </xf>
    <xf numFmtId="164" fontId="9" fillId="0" borderId="2" xfId="23" applyFont="true" applyBorder="true" applyAlignment="true" applyProtection="false">
      <alignment horizontal="center" vertical="center" textRotation="0" wrapText="false" indent="0" shrinkToFit="false"/>
      <protection locked="true" hidden="false"/>
    </xf>
    <xf numFmtId="164" fontId="7" fillId="0" borderId="0" xfId="23" applyFont="true" applyBorder="false" applyAlignment="true" applyProtection="false">
      <alignment horizontal="center" vertical="center" textRotation="0" wrapText="false" indent="0" shrinkToFit="false"/>
      <protection locked="true" hidden="false"/>
    </xf>
    <xf numFmtId="164" fontId="10" fillId="2" borderId="0" xfId="23" applyFont="true" applyBorder="false" applyAlignment="true" applyProtection="false">
      <alignment horizontal="left" vertical="bottom" textRotation="0" wrapText="false" indent="1" shrinkToFit="false"/>
      <protection locked="true" hidden="false"/>
    </xf>
    <xf numFmtId="164" fontId="11" fillId="0" borderId="0" xfId="23" applyFont="true" applyBorder="false" applyAlignment="true" applyProtection="false">
      <alignment horizontal="left" vertical="bottom" textRotation="0" wrapText="false" indent="1"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12" fillId="2" borderId="2" xfId="23" applyFont="true" applyBorder="true" applyAlignment="true" applyProtection="false">
      <alignment horizontal="left" vertical="bottom" textRotation="0" wrapText="false" indent="0" shrinkToFit="false"/>
      <protection locked="true" hidden="false"/>
    </xf>
    <xf numFmtId="164" fontId="13" fillId="0" borderId="2" xfId="23" applyFont="true" applyBorder="true" applyAlignment="true" applyProtection="false">
      <alignment horizontal="left" vertical="bottom" textRotation="0" wrapText="false" indent="0" shrinkToFit="false"/>
      <protection locked="true" hidden="false"/>
    </xf>
    <xf numFmtId="164" fontId="7" fillId="0" borderId="3" xfId="23" applyFont="true" applyBorder="true" applyAlignment="false" applyProtection="false">
      <alignment horizontal="general" vertical="bottom" textRotation="0" wrapText="false" indent="0" shrinkToFit="false"/>
      <protection locked="true" hidden="false"/>
    </xf>
    <xf numFmtId="165" fontId="13" fillId="0" borderId="3" xfId="23" applyFont="true" applyBorder="true" applyAlignment="false" applyProtection="false">
      <alignment horizontal="general" vertical="bottom" textRotation="0" wrapText="false" indent="0" shrinkToFit="false"/>
      <protection locked="true" hidden="false"/>
    </xf>
    <xf numFmtId="164" fontId="12" fillId="2" borderId="2" xfId="23" applyFont="true" applyBorder="true" applyAlignment="true" applyProtection="false">
      <alignment horizontal="general" vertical="center" textRotation="0" wrapText="false" indent="0" shrinkToFit="false"/>
      <protection locked="true" hidden="false"/>
    </xf>
    <xf numFmtId="164" fontId="13" fillId="0" borderId="2" xfId="23" applyFont="true" applyBorder="true" applyAlignment="true" applyProtection="false">
      <alignment horizontal="left" vertical="center" textRotation="0" wrapText="false" indent="0" shrinkToFit="false"/>
      <protection locked="true" hidden="false"/>
    </xf>
    <xf numFmtId="164" fontId="13" fillId="0" borderId="3" xfId="23" applyFont="true" applyBorder="true" applyAlignment="true" applyProtection="false">
      <alignment horizontal="left" vertical="bottom" textRotation="0" wrapText="false" indent="1" shrinkToFit="false"/>
      <protection locked="true" hidden="false"/>
    </xf>
    <xf numFmtId="164" fontId="12" fillId="0" borderId="0" xfId="23" applyFont="true" applyBorder="false" applyAlignment="false" applyProtection="false">
      <alignment horizontal="general" vertical="bottom" textRotation="0" wrapText="false" indent="0" shrinkToFit="false"/>
      <protection locked="true" hidden="false"/>
    </xf>
    <xf numFmtId="164" fontId="11" fillId="0" borderId="0" xfId="23" applyFont="true" applyBorder="false" applyAlignment="true" applyProtection="false">
      <alignment horizontal="left"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1" shrinkToFit="false"/>
      <protection locked="true" hidden="false"/>
    </xf>
    <xf numFmtId="164" fontId="12" fillId="0" borderId="0" xfId="23" applyFont="true" applyBorder="false" applyAlignment="true" applyProtection="false">
      <alignment horizontal="left" vertical="bottom" textRotation="0" wrapText="false" indent="0" shrinkToFit="false"/>
      <protection locked="true" hidden="false"/>
    </xf>
    <xf numFmtId="166" fontId="14" fillId="3" borderId="4" xfId="23" applyFont="true" applyBorder="true" applyAlignment="true" applyProtection="false">
      <alignment horizontal="center" vertical="center" textRotation="0" wrapText="false" indent="0" shrinkToFit="false"/>
      <protection locked="true" hidden="false"/>
    </xf>
    <xf numFmtId="164" fontId="14" fillId="3" borderId="5" xfId="23" applyFont="true" applyBorder="true" applyAlignment="true" applyProtection="false">
      <alignment horizontal="center" vertical="center" textRotation="0" wrapText="false" indent="0" shrinkToFit="false"/>
      <protection locked="true" hidden="false"/>
    </xf>
    <xf numFmtId="164" fontId="14" fillId="3" borderId="6" xfId="23" applyFont="true" applyBorder="true" applyAlignment="true" applyProtection="false">
      <alignment horizontal="center" vertical="center" textRotation="0" wrapText="false" indent="0" shrinkToFit="false"/>
      <protection locked="true" hidden="false"/>
    </xf>
    <xf numFmtId="164" fontId="7" fillId="0" borderId="0" xfId="23" applyFont="true" applyBorder="false" applyAlignment="true" applyProtection="false">
      <alignment horizontal="general" vertical="center" textRotation="0" wrapText="false" indent="0" shrinkToFit="false"/>
      <protection locked="true" hidden="false"/>
    </xf>
    <xf numFmtId="164" fontId="13" fillId="0" borderId="7" xfId="23" applyFont="true" applyBorder="true" applyAlignment="true" applyProtection="false">
      <alignment horizontal="center" vertical="center" textRotation="0" wrapText="true" indent="0" shrinkToFit="false"/>
      <protection locked="true" hidden="false"/>
    </xf>
    <xf numFmtId="167" fontId="7" fillId="0" borderId="8" xfId="23" applyFont="true" applyBorder="true" applyAlignment="true" applyProtection="false">
      <alignment horizontal="center" vertical="center" textRotation="0" wrapText="false" indent="0" shrinkToFit="false"/>
      <protection locked="true" hidden="false"/>
    </xf>
    <xf numFmtId="164" fontId="7" fillId="0" borderId="8" xfId="23" applyFont="true" applyBorder="true" applyAlignment="true" applyProtection="false">
      <alignment horizontal="center" vertical="center" textRotation="0" wrapText="false" indent="0" shrinkToFit="false"/>
      <protection locked="true" hidden="false"/>
    </xf>
    <xf numFmtId="168" fontId="7" fillId="0" borderId="8" xfId="23" applyFont="true" applyBorder="true" applyAlignment="true" applyProtection="false">
      <alignment horizontal="center" vertical="center" textRotation="0" wrapText="false" indent="0" shrinkToFit="false"/>
      <protection locked="true" hidden="false"/>
    </xf>
    <xf numFmtId="164" fontId="13" fillId="0" borderId="9" xfId="23" applyFont="true" applyBorder="true" applyAlignment="true" applyProtection="false">
      <alignment horizontal="center" vertical="center" textRotation="0" wrapText="true" indent="0" shrinkToFit="false"/>
      <protection locked="true" hidden="false"/>
    </xf>
    <xf numFmtId="164" fontId="7" fillId="0" borderId="0" xfId="23" applyFont="true" applyBorder="false" applyAlignment="true" applyProtection="false">
      <alignment horizontal="general" vertical="top" textRotation="0" wrapText="false" indent="0" shrinkToFit="false"/>
      <protection locked="true" hidden="false"/>
    </xf>
    <xf numFmtId="166" fontId="7" fillId="0" borderId="7" xfId="23" applyFont="true" applyBorder="true" applyAlignment="true" applyProtection="false">
      <alignment horizontal="center" vertical="center" textRotation="0" wrapText="false" indent="0" shrinkToFit="false"/>
      <protection locked="true" hidden="false"/>
    </xf>
    <xf numFmtId="164" fontId="7" fillId="0" borderId="9" xfId="23" applyFont="true" applyBorder="true" applyAlignment="true" applyProtection="false">
      <alignment horizontal="center" vertical="center" textRotation="0" wrapText="false" indent="0" shrinkToFit="false"/>
      <protection locked="true" hidden="false"/>
    </xf>
    <xf numFmtId="166" fontId="7" fillId="0" borderId="10" xfId="23" applyFont="true" applyBorder="true" applyAlignment="true" applyProtection="false">
      <alignment horizontal="center" vertical="center" textRotation="0" wrapText="false" indent="0" shrinkToFit="false"/>
      <protection locked="true" hidden="false"/>
    </xf>
    <xf numFmtId="167" fontId="7" fillId="0" borderId="11" xfId="23" applyFont="true" applyBorder="true" applyAlignment="true" applyProtection="false">
      <alignment horizontal="center" vertical="center" textRotation="0" wrapText="false" indent="0" shrinkToFit="false"/>
      <protection locked="true" hidden="false"/>
    </xf>
    <xf numFmtId="164" fontId="7" fillId="0" borderId="11" xfId="23" applyFont="true" applyBorder="true" applyAlignment="true" applyProtection="false">
      <alignment horizontal="center" vertical="center" textRotation="0" wrapText="false" indent="0" shrinkToFit="false"/>
      <protection locked="true" hidden="false"/>
    </xf>
    <xf numFmtId="164" fontId="7" fillId="0" borderId="12" xfId="23"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9"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9" fontId="7" fillId="2" borderId="0" xfId="0" applyFont="true" applyBorder="false" applyAlignment="false" applyProtection="true">
      <alignment horizontal="general" vertical="bottom" textRotation="0" wrapText="false" indent="0" shrinkToFit="false"/>
      <protection locked="true" hidden="true"/>
    </xf>
    <xf numFmtId="164" fontId="9" fillId="2" borderId="0" xfId="0" applyFont="true" applyBorder="false" applyAlignment="true" applyProtection="false">
      <alignment horizontal="left" vertical="bottom" textRotation="0" wrapText="fals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19" fillId="2" borderId="0" xfId="0" applyFont="true" applyBorder="false" applyAlignment="true" applyProtection="false">
      <alignment horizontal="left" vertical="bottom" textRotation="0" wrapText="false" indent="0" shrinkToFit="false"/>
      <protection locked="true" hidden="false"/>
    </xf>
    <xf numFmtId="169" fontId="10" fillId="2" borderId="1" xfId="0" applyFont="true" applyBorder="tru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9" fontId="10" fillId="2" borderId="2" xfId="0" applyFont="true" applyBorder="true" applyAlignment="true" applyProtection="false">
      <alignment horizontal="general" vertical="center" textRotation="0" wrapText="true" indent="0" shrinkToFit="false"/>
      <protection locked="true" hidden="false"/>
    </xf>
    <xf numFmtId="164" fontId="11" fillId="2" borderId="2" xfId="0" applyFont="true" applyBorder="true" applyAlignment="true" applyProtection="false">
      <alignment horizontal="general" vertical="center" textRotation="0" wrapText="true" indent="0" shrinkToFit="false"/>
      <protection locked="true" hidden="false"/>
    </xf>
    <xf numFmtId="169" fontId="10"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9" fontId="7" fillId="2" borderId="0" xfId="0" applyFont="true" applyBorder="false" applyAlignment="true" applyProtection="true">
      <alignment horizontal="general" vertical="center" textRotation="0" wrapText="false" indent="0" shrinkToFit="false"/>
      <protection locked="true" hidden="true"/>
    </xf>
    <xf numFmtId="164" fontId="7" fillId="2" borderId="0" xfId="0" applyFont="true" applyBorder="false" applyAlignment="true" applyProtection="false">
      <alignment horizontal="left" vertical="center"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9" fontId="14" fillId="4" borderId="4" xfId="0" applyFont="true" applyBorder="true" applyAlignment="true" applyProtection="false">
      <alignment horizontal="center" vertical="center" textRotation="0" wrapText="false" indent="0" shrinkToFit="false"/>
      <protection locked="true" hidden="false"/>
    </xf>
    <xf numFmtId="164" fontId="14" fillId="4" borderId="5" xfId="0" applyFont="true" applyBorder="true" applyAlignment="true" applyProtection="false">
      <alignment horizontal="center" vertical="center" textRotation="0" wrapText="false" indent="0" shrinkToFit="false"/>
      <protection locked="true" hidden="false"/>
    </xf>
    <xf numFmtId="164" fontId="14" fillId="4" borderId="13" xfId="0" applyFont="true" applyBorder="true" applyAlignment="true" applyProtection="false">
      <alignment horizontal="center" vertical="center"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9" fontId="7" fillId="2" borderId="7" xfId="0" applyFont="true" applyBorder="true" applyAlignment="true" applyProtection="false">
      <alignment horizontal="general" vertical="center" textRotation="0" wrapText="false" indent="0" shrinkToFit="false"/>
      <protection locked="true" hidden="false"/>
    </xf>
    <xf numFmtId="167" fontId="7" fillId="2" borderId="8" xfId="0" applyFont="true" applyBorder="true" applyAlignment="true" applyProtection="false">
      <alignment horizontal="left" vertical="center" textRotation="0" wrapText="false" indent="0" shrinkToFit="false"/>
      <protection locked="true" hidden="false"/>
    </xf>
    <xf numFmtId="164" fontId="20" fillId="0" borderId="0" xfId="20" applyFont="true" applyBorder="true" applyAlignment="true" applyProtection="true">
      <alignment horizontal="general" vertical="center" textRotation="0" wrapText="true" indent="0" shrinkToFit="false"/>
      <protection locked="true" hidden="false"/>
    </xf>
    <xf numFmtId="164" fontId="7" fillId="2" borderId="8" xfId="0" applyFont="true" applyBorder="true" applyAlignment="true" applyProtection="false">
      <alignment horizontal="left" vertical="center" textRotation="0" wrapText="true" indent="0" shrinkToFit="false"/>
      <protection locked="true" hidden="false"/>
    </xf>
    <xf numFmtId="164" fontId="7" fillId="2" borderId="14" xfId="0" applyFont="true" applyBorder="true" applyAlignment="true" applyProtection="false">
      <alignment horizontal="left" vertical="center" textRotation="0" wrapText="true" indent="0" shrinkToFit="false"/>
      <protection locked="true" hidden="false"/>
    </xf>
    <xf numFmtId="164" fontId="20" fillId="2" borderId="8" xfId="20" applyFont="true" applyBorder="true" applyAlignment="true" applyProtection="true">
      <alignment horizontal="left" vertical="center" textRotation="0" wrapText="true" indent="0" shrinkToFit="false"/>
      <protection locked="true" hidden="false"/>
    </xf>
    <xf numFmtId="164" fontId="21" fillId="2" borderId="8" xfId="20" applyFont="true" applyBorder="true" applyAlignment="true" applyProtection="true">
      <alignment horizontal="left" vertical="center" textRotation="0" wrapText="false" indent="0" shrinkToFit="false"/>
      <protection locked="true" hidden="false"/>
    </xf>
    <xf numFmtId="164" fontId="7" fillId="2" borderId="9" xfId="0" applyFont="true" applyBorder="true" applyAlignment="true" applyProtection="false">
      <alignment horizontal="left" vertical="center" textRotation="0" wrapText="false" indent="0" shrinkToFit="false"/>
      <protection locked="true" hidden="false"/>
    </xf>
    <xf numFmtId="164" fontId="7" fillId="2" borderId="8" xfId="0" applyFont="true" applyBorder="true" applyAlignment="true" applyProtection="false">
      <alignment horizontal="left" vertical="center" textRotation="0" wrapText="false" indent="0" shrinkToFit="false"/>
      <protection locked="true" hidden="false"/>
    </xf>
    <xf numFmtId="169" fontId="7" fillId="2" borderId="10" xfId="0" applyFont="true" applyBorder="true" applyAlignment="true" applyProtection="false">
      <alignment horizontal="general" vertical="center" textRotation="0" wrapText="false" indent="0" shrinkToFit="false"/>
      <protection locked="true" hidden="false"/>
    </xf>
    <xf numFmtId="167" fontId="7" fillId="2" borderId="11" xfId="0" applyFont="true" applyBorder="true" applyAlignment="true" applyProtection="false">
      <alignment horizontal="left" vertical="center" textRotation="0" wrapText="false" indent="0" shrinkToFit="false"/>
      <protection locked="true" hidden="false"/>
    </xf>
    <xf numFmtId="164" fontId="7" fillId="2" borderId="11" xfId="0" applyFont="true" applyBorder="true" applyAlignment="true" applyProtection="false">
      <alignment horizontal="left" vertical="center" textRotation="0" wrapText="false" indent="0" shrinkToFit="false"/>
      <protection locked="true" hidden="false"/>
    </xf>
    <xf numFmtId="164" fontId="7" fillId="2" borderId="12" xfId="0" applyFont="true" applyBorder="true" applyAlignment="true" applyProtection="false">
      <alignment horizontal="left" vertical="center" textRotation="0" wrapText="false" indent="0" shrinkToFit="false"/>
      <protection locked="true" hidden="false"/>
    </xf>
    <xf numFmtId="164" fontId="9" fillId="2" borderId="0" xfId="21" applyFont="true" applyBorder="true" applyAlignment="true" applyProtection="false">
      <alignment horizontal="center" vertical="bottom" textRotation="0" wrapText="false" indent="0" shrinkToFit="false"/>
      <protection locked="true" hidden="false"/>
    </xf>
    <xf numFmtId="164" fontId="12"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6" fontId="7" fillId="2" borderId="0" xfId="21" applyFont="true" applyBorder="false" applyAlignment="false" applyProtection="false">
      <alignment horizontal="general" vertical="bottom" textRotation="0" wrapText="false" indent="0" shrinkToFit="false"/>
      <protection locked="true" hidden="false"/>
    </xf>
    <xf numFmtId="164" fontId="10" fillId="2" borderId="2" xfId="0" applyFont="true" applyBorder="true" applyAlignment="true" applyProtection="false">
      <alignment horizontal="left" vertical="center" textRotation="0" wrapText="false" indent="0" shrinkToFit="false"/>
      <protection locked="true" hidden="false"/>
    </xf>
    <xf numFmtId="164" fontId="11" fillId="2" borderId="2" xfId="0" applyFont="true" applyBorder="true" applyAlignment="true" applyProtection="false">
      <alignment horizontal="left" vertical="center" textRotation="0" wrapText="false" indent="0" shrinkToFit="false"/>
      <protection locked="true" hidden="false"/>
    </xf>
    <xf numFmtId="164" fontId="10" fillId="2" borderId="3" xfId="0" applyFont="true" applyBorder="true" applyAlignment="true" applyProtection="false">
      <alignment horizontal="left" vertical="center" textRotation="0" wrapText="false" indent="0" shrinkToFit="false"/>
      <protection locked="true" hidden="false"/>
    </xf>
    <xf numFmtId="164" fontId="11" fillId="2" borderId="2"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general" vertical="center" textRotation="0" wrapText="false" indent="0" shrinkToFit="false"/>
      <protection locked="true" hidden="false"/>
    </xf>
    <xf numFmtId="164" fontId="10" fillId="2" borderId="2" xfId="0" applyFont="true" applyBorder="true" applyAlignment="true" applyProtection="false">
      <alignment horizontal="general" vertical="center" textRotation="0" wrapText="false" indent="0" shrinkToFit="false"/>
      <protection locked="true" hidden="false"/>
    </xf>
    <xf numFmtId="165" fontId="11" fillId="2" borderId="3" xfId="0" applyFont="true" applyBorder="true" applyAlignment="true" applyProtection="false">
      <alignment horizontal="general" vertical="center" textRotation="0" wrapText="false" indent="0" shrinkToFit="false"/>
      <protection locked="true" hidden="false"/>
    </xf>
    <xf numFmtId="164" fontId="11" fillId="2" borderId="2" xfId="21" applyFont="true" applyBorder="true" applyAlignment="true" applyProtection="false">
      <alignment horizontal="left" vertical="center"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2" borderId="0" xfId="21" applyFont="true" applyBorder="false" applyAlignment="false" applyProtection="false">
      <alignment horizontal="general" vertical="bottom" textRotation="0" wrapText="false" indent="0" shrinkToFit="false"/>
      <protection locked="true" hidden="false"/>
    </xf>
    <xf numFmtId="164" fontId="7" fillId="2" borderId="15" xfId="0" applyFont="true" applyBorder="true" applyAlignment="false" applyProtection="false">
      <alignment horizontal="general" vertical="bottom" textRotation="0" wrapText="false" indent="0" shrinkToFit="false"/>
      <protection locked="true" hidden="false"/>
    </xf>
    <xf numFmtId="164" fontId="14" fillId="3" borderId="16" xfId="0" applyFont="true" applyBorder="true" applyAlignment="true" applyProtection="false">
      <alignment horizontal="center" vertical="center" textRotation="0" wrapText="false" indent="0" shrinkToFit="false"/>
      <protection locked="true" hidden="false"/>
    </xf>
    <xf numFmtId="164" fontId="14" fillId="3" borderId="5" xfId="0" applyFont="true" applyBorder="true" applyAlignment="true" applyProtection="false">
      <alignment horizontal="center" vertical="center" textRotation="0" wrapText="false" indent="0" shrinkToFit="false"/>
      <protection locked="true" hidden="false"/>
    </xf>
    <xf numFmtId="164" fontId="14" fillId="3" borderId="5" xfId="0" applyFont="true" applyBorder="true" applyAlignment="true" applyProtection="false">
      <alignment horizontal="center" vertical="center" textRotation="0" wrapText="true" indent="0" shrinkToFit="false"/>
      <protection locked="true" hidden="false"/>
    </xf>
    <xf numFmtId="164" fontId="14" fillId="3" borderId="13" xfId="0" applyFont="true" applyBorder="true" applyAlignment="true" applyProtection="false">
      <alignment horizontal="center" vertical="center" textRotation="0" wrapText="false" indent="0" shrinkToFit="false"/>
      <protection locked="true" hidden="false"/>
    </xf>
    <xf numFmtId="164" fontId="14" fillId="3" borderId="17" xfId="0" applyFont="true" applyBorder="true" applyAlignment="true" applyProtection="false">
      <alignment horizontal="center" vertical="center" textRotation="0" wrapText="true" indent="0" shrinkToFit="false"/>
      <protection locked="true" hidden="false"/>
    </xf>
    <xf numFmtId="164" fontId="7" fillId="2" borderId="18" xfId="0" applyFont="true" applyBorder="true" applyAlignment="true" applyProtection="false">
      <alignment horizontal="center" vertical="center" textRotation="0" wrapText="false" indent="0" shrinkToFit="false"/>
      <protection locked="true" hidden="false"/>
    </xf>
    <xf numFmtId="164" fontId="7" fillId="2" borderId="8" xfId="0" applyFont="true" applyBorder="true" applyAlignment="true" applyProtection="false">
      <alignment horizontal="general" vertical="center" textRotation="0" wrapText="false" indent="0" shrinkToFit="false"/>
      <protection locked="true" hidden="false"/>
    </xf>
    <xf numFmtId="164" fontId="7" fillId="2" borderId="8" xfId="0" applyFont="true" applyBorder="true" applyAlignment="true" applyProtection="false">
      <alignment horizontal="center" vertical="center" textRotation="0" wrapText="false" indent="0"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64" fontId="7" fillId="2" borderId="20" xfId="0" applyFont="true" applyBorder="true" applyAlignment="true" applyProtection="false">
      <alignment horizontal="center" vertical="center" textRotation="0" wrapText="false" indent="0" shrinkToFit="false"/>
      <protection locked="true" hidden="false"/>
    </xf>
    <xf numFmtId="164" fontId="22" fillId="3" borderId="21" xfId="0" applyFont="true" applyBorder="true" applyAlignment="true" applyProtection="false">
      <alignment horizontal="center" vertical="center" textRotation="0" wrapText="false" indent="0" shrinkToFit="false"/>
      <protection locked="true" hidden="false"/>
    </xf>
    <xf numFmtId="164" fontId="14" fillId="3" borderId="11" xfId="0" applyFont="true" applyBorder="true" applyAlignment="true" applyProtection="false">
      <alignment horizontal="general" vertical="center" textRotation="0" wrapText="false" indent="0" shrinkToFit="false"/>
      <protection locked="true" hidden="false"/>
    </xf>
    <xf numFmtId="164" fontId="22" fillId="3" borderId="11" xfId="0" applyFont="true" applyBorder="true" applyAlignment="true" applyProtection="false">
      <alignment horizontal="center" vertical="center" textRotation="0" wrapText="false" indent="0" shrinkToFit="false"/>
      <protection locked="true" hidden="false"/>
    </xf>
    <xf numFmtId="164" fontId="22" fillId="3" borderId="2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70" fontId="7" fillId="2" borderId="0" xfId="0" applyFont="true" applyBorder="false" applyAlignment="true" applyProtection="false">
      <alignment horizontal="center" vertical="bottom" textRotation="0" wrapText="false" indent="0" shrinkToFit="false"/>
      <protection locked="true" hidden="false"/>
    </xf>
    <xf numFmtId="171" fontId="7" fillId="2" borderId="0" xfId="0" applyFont="true" applyBorder="false" applyAlignment="true" applyProtection="false">
      <alignment horizontal="center"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72" fontId="23" fillId="2" borderId="0" xfId="0" applyFont="true" applyBorder="false" applyAlignment="true" applyProtection="false">
      <alignment horizontal="right" vertical="bottom" textRotation="0" wrapText="true" indent="0" shrinkToFit="false"/>
      <protection locked="true" hidden="false"/>
    </xf>
    <xf numFmtId="164" fontId="24" fillId="2" borderId="0" xfId="0" applyFont="true" applyBorder="false" applyAlignment="true" applyProtection="false">
      <alignment horizontal="center" vertical="bottom" textRotation="0" wrapText="true" indent="0" shrinkToFit="false"/>
      <protection locked="true" hidden="false"/>
    </xf>
    <xf numFmtId="164" fontId="25" fillId="2" borderId="0" xfId="0" applyFont="true" applyBorder="false" applyAlignment="false" applyProtection="false">
      <alignment horizontal="general" vertical="bottom" textRotation="0" wrapText="false" indent="0" shrinkToFit="false"/>
      <protection locked="true" hidden="false"/>
    </xf>
    <xf numFmtId="164" fontId="12" fillId="2" borderId="23" xfId="22" applyFont="true" applyBorder="true" applyAlignment="true" applyProtection="false">
      <alignment horizontal="center" vertical="top" textRotation="0" wrapText="true" indent="0" shrinkToFit="false"/>
      <protection locked="true" hidden="false"/>
    </xf>
    <xf numFmtId="164" fontId="7" fillId="2" borderId="24" xfId="22" applyFont="true" applyBorder="true" applyAlignment="true" applyProtection="false">
      <alignment horizontal="left" vertical="top" textRotation="0" wrapText="true" indent="0" shrinkToFit="false"/>
      <protection locked="true" hidden="false"/>
    </xf>
    <xf numFmtId="164" fontId="11" fillId="2" borderId="0" xfId="22" applyFont="true" applyBorder="false" applyAlignment="true" applyProtection="false">
      <alignment horizontal="general" vertical="bottom" textRotation="0" wrapText="true" indent="0" shrinkToFit="false"/>
      <protection locked="true" hidden="false"/>
    </xf>
    <xf numFmtId="164" fontId="11" fillId="2" borderId="0" xfId="22" applyFont="true" applyBorder="false" applyAlignment="true" applyProtection="false">
      <alignment horizontal="left" vertical="bottom" textRotation="0" wrapText="true" indent="0" shrinkToFit="false"/>
      <protection locked="true" hidden="false"/>
    </xf>
    <xf numFmtId="164" fontId="25" fillId="2" borderId="0" xfId="0" applyFont="true" applyBorder="false" applyAlignment="true" applyProtection="false">
      <alignment horizontal="general" vertical="bottom" textRotation="0" wrapText="true" indent="0" shrinkToFit="false"/>
      <protection locked="true" hidden="false"/>
    </xf>
    <xf numFmtId="164" fontId="24" fillId="2" borderId="0" xfId="0" applyFont="true" applyBorder="false" applyAlignment="false" applyProtection="false">
      <alignment horizontal="general" vertical="bottom" textRotation="0" wrapText="false" indent="0" shrinkToFit="false"/>
      <protection locked="true" hidden="false"/>
    </xf>
    <xf numFmtId="164" fontId="12" fillId="2" borderId="25" xfId="22" applyFont="true" applyBorder="true" applyAlignment="true" applyProtection="false">
      <alignment horizontal="center" vertical="top" textRotation="0" wrapText="true" indent="0" shrinkToFit="false"/>
      <protection locked="true" hidden="false"/>
    </xf>
    <xf numFmtId="164" fontId="7" fillId="2" borderId="26" xfId="22" applyFont="true" applyBorder="true" applyAlignment="true" applyProtection="false">
      <alignment horizontal="left" vertical="top" textRotation="0" wrapText="true" indent="0" shrinkToFit="false"/>
      <protection locked="true" hidden="false"/>
    </xf>
    <xf numFmtId="164" fontId="26" fillId="2" borderId="25" xfId="22" applyFont="true" applyBorder="true" applyAlignment="true" applyProtection="false">
      <alignment horizontal="center" vertical="top" textRotation="0" wrapText="true" indent="0" shrinkToFit="false"/>
      <protection locked="true" hidden="false"/>
    </xf>
    <xf numFmtId="164" fontId="26" fillId="2" borderId="2" xfId="22" applyFont="true" applyBorder="true" applyAlignment="true" applyProtection="false">
      <alignment horizontal="center" vertical="top" textRotation="0" wrapText="true" indent="0" shrinkToFit="false"/>
      <protection locked="true" hidden="false"/>
    </xf>
    <xf numFmtId="164" fontId="26" fillId="2" borderId="26" xfId="22" applyFont="true" applyBorder="true" applyAlignment="true" applyProtection="false">
      <alignment horizontal="center"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25" fillId="2" borderId="0" xfId="0" applyFont="true" applyBorder="false" applyAlignment="true" applyProtection="false">
      <alignment horizontal="center" vertical="bottom" textRotation="0" wrapText="true" indent="0" shrinkToFit="false"/>
      <protection locked="true" hidden="false"/>
    </xf>
    <xf numFmtId="164" fontId="7" fillId="2" borderId="2" xfId="22" applyFont="true" applyBorder="true" applyAlignment="true" applyProtection="false">
      <alignment horizontal="center" vertical="top" textRotation="0" wrapText="true" indent="0" shrinkToFit="false"/>
      <protection locked="true" hidden="false"/>
    </xf>
    <xf numFmtId="164" fontId="7" fillId="2" borderId="26" xfId="22" applyFont="true" applyBorder="true" applyAlignment="true" applyProtection="false">
      <alignment horizontal="center" vertical="top"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6" fillId="2" borderId="27" xfId="22" applyFont="true" applyBorder="true" applyAlignment="true" applyProtection="false">
      <alignment horizontal="center" vertical="top" textRotation="0" wrapText="true" indent="0" shrinkToFit="false"/>
      <protection locked="true" hidden="false"/>
    </xf>
    <xf numFmtId="164" fontId="7" fillId="2" borderId="28" xfId="22" applyFont="true" applyBorder="true" applyAlignment="true" applyProtection="false">
      <alignment horizontal="center" vertical="top" textRotation="0" wrapText="true" indent="0" shrinkToFit="false"/>
      <protection locked="true" hidden="false"/>
    </xf>
    <xf numFmtId="164" fontId="7" fillId="2" borderId="29" xfId="22" applyFont="true" applyBorder="true" applyAlignment="true" applyProtection="false">
      <alignment horizontal="center" vertical="top" textRotation="0" wrapText="true" indent="0" shrinkToFit="false"/>
      <protection locked="true" hidden="false"/>
    </xf>
    <xf numFmtId="164" fontId="14" fillId="5" borderId="2" xfId="22" applyFont="true" applyBorder="true" applyAlignment="true" applyProtection="false">
      <alignment horizontal="center" vertical="center" textRotation="0" wrapText="true" indent="0" shrinkToFit="false"/>
      <protection locked="true" hidden="false"/>
    </xf>
    <xf numFmtId="164" fontId="19" fillId="2" borderId="0" xfId="22" applyFont="true" applyBorder="false" applyAlignment="true" applyProtection="false">
      <alignment horizontal="center" vertical="center" textRotation="0" wrapText="true" indent="0" shrinkToFit="false"/>
      <protection locked="true" hidden="false"/>
    </xf>
    <xf numFmtId="164" fontId="12" fillId="6" borderId="30" xfId="22" applyFont="true" applyBorder="true" applyAlignment="true" applyProtection="false">
      <alignment horizontal="left" vertical="center" textRotation="0" wrapText="false" indent="0" shrinkToFit="false"/>
      <protection locked="true" hidden="false"/>
    </xf>
    <xf numFmtId="164" fontId="12" fillId="6" borderId="0" xfId="22" applyFont="true" applyBorder="true" applyAlignment="true" applyProtection="false">
      <alignment horizontal="left" vertical="center" textRotation="0" wrapText="false" indent="0" shrinkToFit="false"/>
      <protection locked="true" hidden="false"/>
    </xf>
    <xf numFmtId="164" fontId="12" fillId="6" borderId="31" xfId="22" applyFont="true" applyBorder="true" applyAlignment="true" applyProtection="false">
      <alignment horizontal="left" vertical="center" textRotation="0" wrapText="false" indent="0" shrinkToFit="false"/>
      <protection locked="true" hidden="false"/>
    </xf>
    <xf numFmtId="164" fontId="12" fillId="6" borderId="32" xfId="22" applyFont="true" applyBorder="true" applyAlignment="true" applyProtection="false">
      <alignment horizontal="left" vertical="center" textRotation="0" wrapText="false" indent="0" shrinkToFit="false"/>
      <protection locked="true" hidden="false"/>
    </xf>
    <xf numFmtId="164" fontId="19" fillId="2" borderId="0" xfId="22" applyFont="true" applyBorder="false" applyAlignment="true" applyProtection="false">
      <alignment horizontal="left" vertical="center" textRotation="0" wrapText="false" indent="0" shrinkToFit="false"/>
      <protection locked="true" hidden="false"/>
    </xf>
    <xf numFmtId="164" fontId="27" fillId="0" borderId="2" xfId="0" applyFont="true" applyBorder="true" applyAlignment="true" applyProtection="false">
      <alignment horizontal="general" vertical="center" textRotation="0" wrapText="true" indent="0" shrinkToFit="false"/>
      <protection locked="true" hidden="false"/>
    </xf>
    <xf numFmtId="164" fontId="28" fillId="0" borderId="2" xfId="0" applyFont="true" applyBorder="true" applyAlignment="true" applyProtection="false">
      <alignment horizontal="general" vertical="center" textRotation="0" wrapText="true" indent="0" shrinkToFit="false"/>
      <protection locked="true" hidden="false"/>
    </xf>
    <xf numFmtId="164" fontId="7" fillId="2" borderId="3" xfId="22" applyFont="true" applyBorder="true" applyAlignment="true" applyProtection="false">
      <alignment horizontal="general" vertical="center" textRotation="0" wrapText="true" indent="0" shrinkToFit="false"/>
      <protection locked="true" hidden="false"/>
    </xf>
    <xf numFmtId="164" fontId="7" fillId="2" borderId="2" xfId="22" applyFont="true" applyBorder="true" applyAlignment="true" applyProtection="false">
      <alignment horizontal="general" vertical="center" textRotation="0" wrapText="true" indent="0" shrinkToFit="false"/>
      <protection locked="true" hidden="false"/>
    </xf>
    <xf numFmtId="164" fontId="7" fillId="2" borderId="2" xfId="0" applyFont="true" applyBorder="true" applyAlignment="true" applyProtection="false">
      <alignment horizontal="general" vertical="center" textRotation="0" wrapText="tru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64" fontId="12" fillId="6" borderId="33" xfId="22" applyFont="true" applyBorder="true" applyAlignment="true" applyProtection="false">
      <alignment horizontal="left" vertical="center" textRotation="0" wrapText="false" indent="0" shrinkToFit="false"/>
      <protection locked="true" hidden="false"/>
    </xf>
    <xf numFmtId="164" fontId="12" fillId="6" borderId="3" xfId="22" applyFont="true" applyBorder="true" applyAlignment="true" applyProtection="false">
      <alignment horizontal="left" vertical="center" textRotation="0" wrapText="false" indent="0" shrinkToFit="false"/>
      <protection locked="true" hidden="false"/>
    </xf>
    <xf numFmtId="164" fontId="28" fillId="0" borderId="2" xfId="0" applyFont="true" applyBorder="true" applyAlignment="true" applyProtection="false">
      <alignment horizontal="general"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_Functional Test Case v1.0" xfId="21"/>
    <cellStyle name="Normal_Sheet1" xfId="22"/>
    <cellStyle name="Normal_Template_UnitTest Case_v0.9" xfId="23"/>
    <cellStyle name="標準_結合試験(AllOvertheWorld)" xfId="24"/>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7933C"/>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152280</xdr:colOff>
      <xdr:row>1</xdr:row>
      <xdr:rowOff>196560</xdr:rowOff>
    </xdr:from>
    <xdr:to>
      <xdr:col>0</xdr:col>
      <xdr:colOff>1666800</xdr:colOff>
      <xdr:row>1</xdr:row>
      <xdr:rowOff>721440</xdr:rowOff>
    </xdr:to>
    <xdr:pic>
      <xdr:nvPicPr>
        <xdr:cNvPr id="1" name="Picture 1"/>
        <xdr:cNvPicPr/>
      </xdr:nvPicPr>
      <xdr:blipFill>
        <a:blip r:embed="rId1"/>
        <a:stretch/>
      </xdr:blipFill>
      <xdr:spPr>
        <a:xfrm>
          <a:off x="152280" y="358560"/>
          <a:ext cx="1514520" cy="5248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7"/>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B24" activeCellId="0" sqref="B24"/>
    </sheetView>
  </sheetViews>
  <sheetFormatPr defaultColWidth="9.00390625" defaultRowHeight="12.75" customHeight="false" zeroHeight="false" outlineLevelRow="0" outlineLevelCol="0"/>
  <cols>
    <col collapsed="false" customWidth="true" hidden="false" outlineLevel="0" max="1" min="1" style="1" width="28.11"/>
    <col collapsed="false" customWidth="true" hidden="false" outlineLevel="0" max="2" min="2" style="2" width="10"/>
    <col collapsed="false" customWidth="true" hidden="false" outlineLevel="0" max="3" min="3" style="2" width="14.34"/>
    <col collapsed="false" customWidth="true" hidden="false" outlineLevel="0" max="4" min="4" style="2" width="8"/>
    <col collapsed="false" customWidth="true" hidden="false" outlineLevel="0" max="5" min="5" style="2" width="38"/>
    <col collapsed="false" customWidth="true" hidden="false" outlineLevel="0" max="6" min="6" style="2" width="48.11"/>
    <col collapsed="false" customWidth="false" hidden="false" outlineLevel="0" max="256" min="7" style="2" width="9"/>
    <col collapsed="false" customWidth="true" hidden="false" outlineLevel="0" max="257" min="257" style="2" width="28.11"/>
    <col collapsed="false" customWidth="true" hidden="false" outlineLevel="0" max="258" min="258" style="2" width="10"/>
    <col collapsed="false" customWidth="true" hidden="false" outlineLevel="0" max="259" min="259" style="2" width="14.34"/>
    <col collapsed="false" customWidth="true" hidden="false" outlineLevel="0" max="260" min="260" style="2" width="8"/>
    <col collapsed="false" customWidth="true" hidden="false" outlineLevel="0" max="261" min="261" style="2" width="38"/>
    <col collapsed="false" customWidth="true" hidden="false" outlineLevel="0" max="262" min="262" style="2" width="48.11"/>
    <col collapsed="false" customWidth="false" hidden="false" outlineLevel="0" max="512" min="263" style="2" width="9"/>
    <col collapsed="false" customWidth="true" hidden="false" outlineLevel="0" max="513" min="513" style="2" width="28.11"/>
    <col collapsed="false" customWidth="true" hidden="false" outlineLevel="0" max="514" min="514" style="2" width="10"/>
    <col collapsed="false" customWidth="true" hidden="false" outlineLevel="0" max="515" min="515" style="2" width="14.34"/>
    <col collapsed="false" customWidth="true" hidden="false" outlineLevel="0" max="516" min="516" style="2" width="8"/>
    <col collapsed="false" customWidth="true" hidden="false" outlineLevel="0" max="517" min="517" style="2" width="38"/>
    <col collapsed="false" customWidth="true" hidden="false" outlineLevel="0" max="518" min="518" style="2" width="48.11"/>
    <col collapsed="false" customWidth="false" hidden="false" outlineLevel="0" max="768" min="519" style="2" width="9"/>
    <col collapsed="false" customWidth="true" hidden="false" outlineLevel="0" max="769" min="769" style="2" width="28.11"/>
    <col collapsed="false" customWidth="true" hidden="false" outlineLevel="0" max="770" min="770" style="2" width="10"/>
    <col collapsed="false" customWidth="true" hidden="false" outlineLevel="0" max="771" min="771" style="2" width="14.34"/>
    <col collapsed="false" customWidth="true" hidden="false" outlineLevel="0" max="772" min="772" style="2" width="8"/>
    <col collapsed="false" customWidth="true" hidden="false" outlineLevel="0" max="773" min="773" style="2" width="38"/>
    <col collapsed="false" customWidth="true" hidden="false" outlineLevel="0" max="774" min="774" style="2" width="48.11"/>
    <col collapsed="false" customWidth="false" hidden="false" outlineLevel="0" max="1024" min="775" style="2" width="9"/>
    <col collapsed="false" customWidth="true" hidden="false" outlineLevel="0" max="1025" min="1025" style="2" width="28.11"/>
    <col collapsed="false" customWidth="true" hidden="false" outlineLevel="0" max="1026" min="1026" style="2" width="10"/>
    <col collapsed="false" customWidth="true" hidden="false" outlineLevel="0" max="1027" min="1027" style="2" width="14.34"/>
    <col collapsed="false" customWidth="true" hidden="false" outlineLevel="0" max="1028" min="1028" style="2" width="8"/>
    <col collapsed="false" customWidth="true" hidden="false" outlineLevel="0" max="1029" min="1029" style="2" width="38"/>
    <col collapsed="false" customWidth="true" hidden="false" outlineLevel="0" max="1030" min="1030" style="2" width="48.11"/>
    <col collapsed="false" customWidth="false" hidden="false" outlineLevel="0" max="1280" min="1031" style="2" width="9"/>
    <col collapsed="false" customWidth="true" hidden="false" outlineLevel="0" max="1281" min="1281" style="2" width="28.11"/>
    <col collapsed="false" customWidth="true" hidden="false" outlineLevel="0" max="1282" min="1282" style="2" width="10"/>
    <col collapsed="false" customWidth="true" hidden="false" outlineLevel="0" max="1283" min="1283" style="2" width="14.34"/>
    <col collapsed="false" customWidth="true" hidden="false" outlineLevel="0" max="1284" min="1284" style="2" width="8"/>
    <col collapsed="false" customWidth="true" hidden="false" outlineLevel="0" max="1285" min="1285" style="2" width="38"/>
    <col collapsed="false" customWidth="true" hidden="false" outlineLevel="0" max="1286" min="1286" style="2" width="48.11"/>
    <col collapsed="false" customWidth="false" hidden="false" outlineLevel="0" max="1536" min="1287" style="2" width="9"/>
    <col collapsed="false" customWidth="true" hidden="false" outlineLevel="0" max="1537" min="1537" style="2" width="28.11"/>
    <col collapsed="false" customWidth="true" hidden="false" outlineLevel="0" max="1538" min="1538" style="2" width="10"/>
    <col collapsed="false" customWidth="true" hidden="false" outlineLevel="0" max="1539" min="1539" style="2" width="14.34"/>
    <col collapsed="false" customWidth="true" hidden="false" outlineLevel="0" max="1540" min="1540" style="2" width="8"/>
    <col collapsed="false" customWidth="true" hidden="false" outlineLevel="0" max="1541" min="1541" style="2" width="38"/>
    <col collapsed="false" customWidth="true" hidden="false" outlineLevel="0" max="1542" min="1542" style="2" width="48.11"/>
    <col collapsed="false" customWidth="false" hidden="false" outlineLevel="0" max="1792" min="1543" style="2" width="9"/>
    <col collapsed="false" customWidth="true" hidden="false" outlineLevel="0" max="1793" min="1793" style="2" width="28.11"/>
    <col collapsed="false" customWidth="true" hidden="false" outlineLevel="0" max="1794" min="1794" style="2" width="10"/>
    <col collapsed="false" customWidth="true" hidden="false" outlineLevel="0" max="1795" min="1795" style="2" width="14.34"/>
    <col collapsed="false" customWidth="true" hidden="false" outlineLevel="0" max="1796" min="1796" style="2" width="8"/>
    <col collapsed="false" customWidth="true" hidden="false" outlineLevel="0" max="1797" min="1797" style="2" width="38"/>
    <col collapsed="false" customWidth="true" hidden="false" outlineLevel="0" max="1798" min="1798" style="2" width="48.11"/>
    <col collapsed="false" customWidth="false" hidden="false" outlineLevel="0" max="2048" min="1799" style="2" width="9"/>
    <col collapsed="false" customWidth="true" hidden="false" outlineLevel="0" max="2049" min="2049" style="2" width="28.11"/>
    <col collapsed="false" customWidth="true" hidden="false" outlineLevel="0" max="2050" min="2050" style="2" width="10"/>
    <col collapsed="false" customWidth="true" hidden="false" outlineLevel="0" max="2051" min="2051" style="2" width="14.34"/>
    <col collapsed="false" customWidth="true" hidden="false" outlineLevel="0" max="2052" min="2052" style="2" width="8"/>
    <col collapsed="false" customWidth="true" hidden="false" outlineLevel="0" max="2053" min="2053" style="2" width="38"/>
    <col collapsed="false" customWidth="true" hidden="false" outlineLevel="0" max="2054" min="2054" style="2" width="48.11"/>
    <col collapsed="false" customWidth="false" hidden="false" outlineLevel="0" max="2304" min="2055" style="2" width="9"/>
    <col collapsed="false" customWidth="true" hidden="false" outlineLevel="0" max="2305" min="2305" style="2" width="28.11"/>
    <col collapsed="false" customWidth="true" hidden="false" outlineLevel="0" max="2306" min="2306" style="2" width="10"/>
    <col collapsed="false" customWidth="true" hidden="false" outlineLevel="0" max="2307" min="2307" style="2" width="14.34"/>
    <col collapsed="false" customWidth="true" hidden="false" outlineLevel="0" max="2308" min="2308" style="2" width="8"/>
    <col collapsed="false" customWidth="true" hidden="false" outlineLevel="0" max="2309" min="2309" style="2" width="38"/>
    <col collapsed="false" customWidth="true" hidden="false" outlineLevel="0" max="2310" min="2310" style="2" width="48.11"/>
    <col collapsed="false" customWidth="false" hidden="false" outlineLevel="0" max="2560" min="2311" style="2" width="9"/>
    <col collapsed="false" customWidth="true" hidden="false" outlineLevel="0" max="2561" min="2561" style="2" width="28.11"/>
    <col collapsed="false" customWidth="true" hidden="false" outlineLevel="0" max="2562" min="2562" style="2" width="10"/>
    <col collapsed="false" customWidth="true" hidden="false" outlineLevel="0" max="2563" min="2563" style="2" width="14.34"/>
    <col collapsed="false" customWidth="true" hidden="false" outlineLevel="0" max="2564" min="2564" style="2" width="8"/>
    <col collapsed="false" customWidth="true" hidden="false" outlineLevel="0" max="2565" min="2565" style="2" width="38"/>
    <col collapsed="false" customWidth="true" hidden="false" outlineLevel="0" max="2566" min="2566" style="2" width="48.11"/>
    <col collapsed="false" customWidth="false" hidden="false" outlineLevel="0" max="2816" min="2567" style="2" width="9"/>
    <col collapsed="false" customWidth="true" hidden="false" outlineLevel="0" max="2817" min="2817" style="2" width="28.11"/>
    <col collapsed="false" customWidth="true" hidden="false" outlineLevel="0" max="2818" min="2818" style="2" width="10"/>
    <col collapsed="false" customWidth="true" hidden="false" outlineLevel="0" max="2819" min="2819" style="2" width="14.34"/>
    <col collapsed="false" customWidth="true" hidden="false" outlineLevel="0" max="2820" min="2820" style="2" width="8"/>
    <col collapsed="false" customWidth="true" hidden="false" outlineLevel="0" max="2821" min="2821" style="2" width="38"/>
    <col collapsed="false" customWidth="true" hidden="false" outlineLevel="0" max="2822" min="2822" style="2" width="48.11"/>
    <col collapsed="false" customWidth="false" hidden="false" outlineLevel="0" max="3072" min="2823" style="2" width="9"/>
    <col collapsed="false" customWidth="true" hidden="false" outlineLevel="0" max="3073" min="3073" style="2" width="28.11"/>
    <col collapsed="false" customWidth="true" hidden="false" outlineLevel="0" max="3074" min="3074" style="2" width="10"/>
    <col collapsed="false" customWidth="true" hidden="false" outlineLevel="0" max="3075" min="3075" style="2" width="14.34"/>
    <col collapsed="false" customWidth="true" hidden="false" outlineLevel="0" max="3076" min="3076" style="2" width="8"/>
    <col collapsed="false" customWidth="true" hidden="false" outlineLevel="0" max="3077" min="3077" style="2" width="38"/>
    <col collapsed="false" customWidth="true" hidden="false" outlineLevel="0" max="3078" min="3078" style="2" width="48.11"/>
    <col collapsed="false" customWidth="false" hidden="false" outlineLevel="0" max="3328" min="3079" style="2" width="9"/>
    <col collapsed="false" customWidth="true" hidden="false" outlineLevel="0" max="3329" min="3329" style="2" width="28.11"/>
    <col collapsed="false" customWidth="true" hidden="false" outlineLevel="0" max="3330" min="3330" style="2" width="10"/>
    <col collapsed="false" customWidth="true" hidden="false" outlineLevel="0" max="3331" min="3331" style="2" width="14.34"/>
    <col collapsed="false" customWidth="true" hidden="false" outlineLevel="0" max="3332" min="3332" style="2" width="8"/>
    <col collapsed="false" customWidth="true" hidden="false" outlineLevel="0" max="3333" min="3333" style="2" width="38"/>
    <col collapsed="false" customWidth="true" hidden="false" outlineLevel="0" max="3334" min="3334" style="2" width="48.11"/>
    <col collapsed="false" customWidth="false" hidden="false" outlineLevel="0" max="3584" min="3335" style="2" width="9"/>
    <col collapsed="false" customWidth="true" hidden="false" outlineLevel="0" max="3585" min="3585" style="2" width="28.11"/>
    <col collapsed="false" customWidth="true" hidden="false" outlineLevel="0" max="3586" min="3586" style="2" width="10"/>
    <col collapsed="false" customWidth="true" hidden="false" outlineLevel="0" max="3587" min="3587" style="2" width="14.34"/>
    <col collapsed="false" customWidth="true" hidden="false" outlineLevel="0" max="3588" min="3588" style="2" width="8"/>
    <col collapsed="false" customWidth="true" hidden="false" outlineLevel="0" max="3589" min="3589" style="2" width="38"/>
    <col collapsed="false" customWidth="true" hidden="false" outlineLevel="0" max="3590" min="3590" style="2" width="48.11"/>
    <col collapsed="false" customWidth="false" hidden="false" outlineLevel="0" max="3840" min="3591" style="2" width="9"/>
    <col collapsed="false" customWidth="true" hidden="false" outlineLevel="0" max="3841" min="3841" style="2" width="28.11"/>
    <col collapsed="false" customWidth="true" hidden="false" outlineLevel="0" max="3842" min="3842" style="2" width="10"/>
    <col collapsed="false" customWidth="true" hidden="false" outlineLevel="0" max="3843" min="3843" style="2" width="14.34"/>
    <col collapsed="false" customWidth="true" hidden="false" outlineLevel="0" max="3844" min="3844" style="2" width="8"/>
    <col collapsed="false" customWidth="true" hidden="false" outlineLevel="0" max="3845" min="3845" style="2" width="38"/>
    <col collapsed="false" customWidth="true" hidden="false" outlineLevel="0" max="3846" min="3846" style="2" width="48.11"/>
    <col collapsed="false" customWidth="false" hidden="false" outlineLevel="0" max="4096" min="3847" style="2" width="9"/>
    <col collapsed="false" customWidth="true" hidden="false" outlineLevel="0" max="4097" min="4097" style="2" width="28.11"/>
    <col collapsed="false" customWidth="true" hidden="false" outlineLevel="0" max="4098" min="4098" style="2" width="10"/>
    <col collapsed="false" customWidth="true" hidden="false" outlineLevel="0" max="4099" min="4099" style="2" width="14.34"/>
    <col collapsed="false" customWidth="true" hidden="false" outlineLevel="0" max="4100" min="4100" style="2" width="8"/>
    <col collapsed="false" customWidth="true" hidden="false" outlineLevel="0" max="4101" min="4101" style="2" width="38"/>
    <col collapsed="false" customWidth="true" hidden="false" outlineLevel="0" max="4102" min="4102" style="2" width="48.11"/>
    <col collapsed="false" customWidth="false" hidden="false" outlineLevel="0" max="4352" min="4103" style="2" width="9"/>
    <col collapsed="false" customWidth="true" hidden="false" outlineLevel="0" max="4353" min="4353" style="2" width="28.11"/>
    <col collapsed="false" customWidth="true" hidden="false" outlineLevel="0" max="4354" min="4354" style="2" width="10"/>
    <col collapsed="false" customWidth="true" hidden="false" outlineLevel="0" max="4355" min="4355" style="2" width="14.34"/>
    <col collapsed="false" customWidth="true" hidden="false" outlineLevel="0" max="4356" min="4356" style="2" width="8"/>
    <col collapsed="false" customWidth="true" hidden="false" outlineLevel="0" max="4357" min="4357" style="2" width="38"/>
    <col collapsed="false" customWidth="true" hidden="false" outlineLevel="0" max="4358" min="4358" style="2" width="48.11"/>
    <col collapsed="false" customWidth="false" hidden="false" outlineLevel="0" max="4608" min="4359" style="2" width="9"/>
    <col collapsed="false" customWidth="true" hidden="false" outlineLevel="0" max="4609" min="4609" style="2" width="28.11"/>
    <col collapsed="false" customWidth="true" hidden="false" outlineLevel="0" max="4610" min="4610" style="2" width="10"/>
    <col collapsed="false" customWidth="true" hidden="false" outlineLevel="0" max="4611" min="4611" style="2" width="14.34"/>
    <col collapsed="false" customWidth="true" hidden="false" outlineLevel="0" max="4612" min="4612" style="2" width="8"/>
    <col collapsed="false" customWidth="true" hidden="false" outlineLevel="0" max="4613" min="4613" style="2" width="38"/>
    <col collapsed="false" customWidth="true" hidden="false" outlineLevel="0" max="4614" min="4614" style="2" width="48.11"/>
    <col collapsed="false" customWidth="false" hidden="false" outlineLevel="0" max="4864" min="4615" style="2" width="9"/>
    <col collapsed="false" customWidth="true" hidden="false" outlineLevel="0" max="4865" min="4865" style="2" width="28.11"/>
    <col collapsed="false" customWidth="true" hidden="false" outlineLevel="0" max="4866" min="4866" style="2" width="10"/>
    <col collapsed="false" customWidth="true" hidden="false" outlineLevel="0" max="4867" min="4867" style="2" width="14.34"/>
    <col collapsed="false" customWidth="true" hidden="false" outlineLevel="0" max="4868" min="4868" style="2" width="8"/>
    <col collapsed="false" customWidth="true" hidden="false" outlineLevel="0" max="4869" min="4869" style="2" width="38"/>
    <col collapsed="false" customWidth="true" hidden="false" outlineLevel="0" max="4870" min="4870" style="2" width="48.11"/>
    <col collapsed="false" customWidth="false" hidden="false" outlineLevel="0" max="5120" min="4871" style="2" width="9"/>
    <col collapsed="false" customWidth="true" hidden="false" outlineLevel="0" max="5121" min="5121" style="2" width="28.11"/>
    <col collapsed="false" customWidth="true" hidden="false" outlineLevel="0" max="5122" min="5122" style="2" width="10"/>
    <col collapsed="false" customWidth="true" hidden="false" outlineLevel="0" max="5123" min="5123" style="2" width="14.34"/>
    <col collapsed="false" customWidth="true" hidden="false" outlineLevel="0" max="5124" min="5124" style="2" width="8"/>
    <col collapsed="false" customWidth="true" hidden="false" outlineLevel="0" max="5125" min="5125" style="2" width="38"/>
    <col collapsed="false" customWidth="true" hidden="false" outlineLevel="0" max="5126" min="5126" style="2" width="48.11"/>
    <col collapsed="false" customWidth="false" hidden="false" outlineLevel="0" max="5376" min="5127" style="2" width="9"/>
    <col collapsed="false" customWidth="true" hidden="false" outlineLevel="0" max="5377" min="5377" style="2" width="28.11"/>
    <col collapsed="false" customWidth="true" hidden="false" outlineLevel="0" max="5378" min="5378" style="2" width="10"/>
    <col collapsed="false" customWidth="true" hidden="false" outlineLevel="0" max="5379" min="5379" style="2" width="14.34"/>
    <col collapsed="false" customWidth="true" hidden="false" outlineLevel="0" max="5380" min="5380" style="2" width="8"/>
    <col collapsed="false" customWidth="true" hidden="false" outlineLevel="0" max="5381" min="5381" style="2" width="38"/>
    <col collapsed="false" customWidth="true" hidden="false" outlineLevel="0" max="5382" min="5382" style="2" width="48.11"/>
    <col collapsed="false" customWidth="false" hidden="false" outlineLevel="0" max="5632" min="5383" style="2" width="9"/>
    <col collapsed="false" customWidth="true" hidden="false" outlineLevel="0" max="5633" min="5633" style="2" width="28.11"/>
    <col collapsed="false" customWidth="true" hidden="false" outlineLevel="0" max="5634" min="5634" style="2" width="10"/>
    <col collapsed="false" customWidth="true" hidden="false" outlineLevel="0" max="5635" min="5635" style="2" width="14.34"/>
    <col collapsed="false" customWidth="true" hidden="false" outlineLevel="0" max="5636" min="5636" style="2" width="8"/>
    <col collapsed="false" customWidth="true" hidden="false" outlineLevel="0" max="5637" min="5637" style="2" width="38"/>
    <col collapsed="false" customWidth="true" hidden="false" outlineLevel="0" max="5638" min="5638" style="2" width="48.11"/>
    <col collapsed="false" customWidth="false" hidden="false" outlineLevel="0" max="5888" min="5639" style="2" width="9"/>
    <col collapsed="false" customWidth="true" hidden="false" outlineLevel="0" max="5889" min="5889" style="2" width="28.11"/>
    <col collapsed="false" customWidth="true" hidden="false" outlineLevel="0" max="5890" min="5890" style="2" width="10"/>
    <col collapsed="false" customWidth="true" hidden="false" outlineLevel="0" max="5891" min="5891" style="2" width="14.34"/>
    <col collapsed="false" customWidth="true" hidden="false" outlineLevel="0" max="5892" min="5892" style="2" width="8"/>
    <col collapsed="false" customWidth="true" hidden="false" outlineLevel="0" max="5893" min="5893" style="2" width="38"/>
    <col collapsed="false" customWidth="true" hidden="false" outlineLevel="0" max="5894" min="5894" style="2" width="48.11"/>
    <col collapsed="false" customWidth="false" hidden="false" outlineLevel="0" max="6144" min="5895" style="2" width="9"/>
    <col collapsed="false" customWidth="true" hidden="false" outlineLevel="0" max="6145" min="6145" style="2" width="28.11"/>
    <col collapsed="false" customWidth="true" hidden="false" outlineLevel="0" max="6146" min="6146" style="2" width="10"/>
    <col collapsed="false" customWidth="true" hidden="false" outlineLevel="0" max="6147" min="6147" style="2" width="14.34"/>
    <col collapsed="false" customWidth="true" hidden="false" outlineLevel="0" max="6148" min="6148" style="2" width="8"/>
    <col collapsed="false" customWidth="true" hidden="false" outlineLevel="0" max="6149" min="6149" style="2" width="38"/>
    <col collapsed="false" customWidth="true" hidden="false" outlineLevel="0" max="6150" min="6150" style="2" width="48.11"/>
    <col collapsed="false" customWidth="false" hidden="false" outlineLevel="0" max="6400" min="6151" style="2" width="9"/>
    <col collapsed="false" customWidth="true" hidden="false" outlineLevel="0" max="6401" min="6401" style="2" width="28.11"/>
    <col collapsed="false" customWidth="true" hidden="false" outlineLevel="0" max="6402" min="6402" style="2" width="10"/>
    <col collapsed="false" customWidth="true" hidden="false" outlineLevel="0" max="6403" min="6403" style="2" width="14.34"/>
    <col collapsed="false" customWidth="true" hidden="false" outlineLevel="0" max="6404" min="6404" style="2" width="8"/>
    <col collapsed="false" customWidth="true" hidden="false" outlineLevel="0" max="6405" min="6405" style="2" width="38"/>
    <col collapsed="false" customWidth="true" hidden="false" outlineLevel="0" max="6406" min="6406" style="2" width="48.11"/>
    <col collapsed="false" customWidth="false" hidden="false" outlineLevel="0" max="6656" min="6407" style="2" width="9"/>
    <col collapsed="false" customWidth="true" hidden="false" outlineLevel="0" max="6657" min="6657" style="2" width="28.11"/>
    <col collapsed="false" customWidth="true" hidden="false" outlineLevel="0" max="6658" min="6658" style="2" width="10"/>
    <col collapsed="false" customWidth="true" hidden="false" outlineLevel="0" max="6659" min="6659" style="2" width="14.34"/>
    <col collapsed="false" customWidth="true" hidden="false" outlineLevel="0" max="6660" min="6660" style="2" width="8"/>
    <col collapsed="false" customWidth="true" hidden="false" outlineLevel="0" max="6661" min="6661" style="2" width="38"/>
    <col collapsed="false" customWidth="true" hidden="false" outlineLevel="0" max="6662" min="6662" style="2" width="48.11"/>
    <col collapsed="false" customWidth="false" hidden="false" outlineLevel="0" max="6912" min="6663" style="2" width="9"/>
    <col collapsed="false" customWidth="true" hidden="false" outlineLevel="0" max="6913" min="6913" style="2" width="28.11"/>
    <col collapsed="false" customWidth="true" hidden="false" outlineLevel="0" max="6914" min="6914" style="2" width="10"/>
    <col collapsed="false" customWidth="true" hidden="false" outlineLevel="0" max="6915" min="6915" style="2" width="14.34"/>
    <col collapsed="false" customWidth="true" hidden="false" outlineLevel="0" max="6916" min="6916" style="2" width="8"/>
    <col collapsed="false" customWidth="true" hidden="false" outlineLevel="0" max="6917" min="6917" style="2" width="38"/>
    <col collapsed="false" customWidth="true" hidden="false" outlineLevel="0" max="6918" min="6918" style="2" width="48.11"/>
    <col collapsed="false" customWidth="false" hidden="false" outlineLevel="0" max="7168" min="6919" style="2" width="9"/>
    <col collapsed="false" customWidth="true" hidden="false" outlineLevel="0" max="7169" min="7169" style="2" width="28.11"/>
    <col collapsed="false" customWidth="true" hidden="false" outlineLevel="0" max="7170" min="7170" style="2" width="10"/>
    <col collapsed="false" customWidth="true" hidden="false" outlineLevel="0" max="7171" min="7171" style="2" width="14.34"/>
    <col collapsed="false" customWidth="true" hidden="false" outlineLevel="0" max="7172" min="7172" style="2" width="8"/>
    <col collapsed="false" customWidth="true" hidden="false" outlineLevel="0" max="7173" min="7173" style="2" width="38"/>
    <col collapsed="false" customWidth="true" hidden="false" outlineLevel="0" max="7174" min="7174" style="2" width="48.11"/>
    <col collapsed="false" customWidth="false" hidden="false" outlineLevel="0" max="7424" min="7175" style="2" width="9"/>
    <col collapsed="false" customWidth="true" hidden="false" outlineLevel="0" max="7425" min="7425" style="2" width="28.11"/>
    <col collapsed="false" customWidth="true" hidden="false" outlineLevel="0" max="7426" min="7426" style="2" width="10"/>
    <col collapsed="false" customWidth="true" hidden="false" outlineLevel="0" max="7427" min="7427" style="2" width="14.34"/>
    <col collapsed="false" customWidth="true" hidden="false" outlineLevel="0" max="7428" min="7428" style="2" width="8"/>
    <col collapsed="false" customWidth="true" hidden="false" outlineLevel="0" max="7429" min="7429" style="2" width="38"/>
    <col collapsed="false" customWidth="true" hidden="false" outlineLevel="0" max="7430" min="7430" style="2" width="48.11"/>
    <col collapsed="false" customWidth="false" hidden="false" outlineLevel="0" max="7680" min="7431" style="2" width="9"/>
    <col collapsed="false" customWidth="true" hidden="false" outlineLevel="0" max="7681" min="7681" style="2" width="28.11"/>
    <col collapsed="false" customWidth="true" hidden="false" outlineLevel="0" max="7682" min="7682" style="2" width="10"/>
    <col collapsed="false" customWidth="true" hidden="false" outlineLevel="0" max="7683" min="7683" style="2" width="14.34"/>
    <col collapsed="false" customWidth="true" hidden="false" outlineLevel="0" max="7684" min="7684" style="2" width="8"/>
    <col collapsed="false" customWidth="true" hidden="false" outlineLevel="0" max="7685" min="7685" style="2" width="38"/>
    <col collapsed="false" customWidth="true" hidden="false" outlineLevel="0" max="7686" min="7686" style="2" width="48.11"/>
    <col collapsed="false" customWidth="false" hidden="false" outlineLevel="0" max="7936" min="7687" style="2" width="9"/>
    <col collapsed="false" customWidth="true" hidden="false" outlineLevel="0" max="7937" min="7937" style="2" width="28.11"/>
    <col collapsed="false" customWidth="true" hidden="false" outlineLevel="0" max="7938" min="7938" style="2" width="10"/>
    <col collapsed="false" customWidth="true" hidden="false" outlineLevel="0" max="7939" min="7939" style="2" width="14.34"/>
    <col collapsed="false" customWidth="true" hidden="false" outlineLevel="0" max="7940" min="7940" style="2" width="8"/>
    <col collapsed="false" customWidth="true" hidden="false" outlineLevel="0" max="7941" min="7941" style="2" width="38"/>
    <col collapsed="false" customWidth="true" hidden="false" outlineLevel="0" max="7942" min="7942" style="2" width="48.11"/>
    <col collapsed="false" customWidth="false" hidden="false" outlineLevel="0" max="8192" min="7943" style="2" width="9"/>
    <col collapsed="false" customWidth="true" hidden="false" outlineLevel="0" max="8193" min="8193" style="2" width="28.11"/>
    <col collapsed="false" customWidth="true" hidden="false" outlineLevel="0" max="8194" min="8194" style="2" width="10"/>
    <col collapsed="false" customWidth="true" hidden="false" outlineLevel="0" max="8195" min="8195" style="2" width="14.34"/>
    <col collapsed="false" customWidth="true" hidden="false" outlineLevel="0" max="8196" min="8196" style="2" width="8"/>
    <col collapsed="false" customWidth="true" hidden="false" outlineLevel="0" max="8197" min="8197" style="2" width="38"/>
    <col collapsed="false" customWidth="true" hidden="false" outlineLevel="0" max="8198" min="8198" style="2" width="48.11"/>
    <col collapsed="false" customWidth="false" hidden="false" outlineLevel="0" max="8448" min="8199" style="2" width="9"/>
    <col collapsed="false" customWidth="true" hidden="false" outlineLevel="0" max="8449" min="8449" style="2" width="28.11"/>
    <col collapsed="false" customWidth="true" hidden="false" outlineLevel="0" max="8450" min="8450" style="2" width="10"/>
    <col collapsed="false" customWidth="true" hidden="false" outlineLevel="0" max="8451" min="8451" style="2" width="14.34"/>
    <col collapsed="false" customWidth="true" hidden="false" outlineLevel="0" max="8452" min="8452" style="2" width="8"/>
    <col collapsed="false" customWidth="true" hidden="false" outlineLevel="0" max="8453" min="8453" style="2" width="38"/>
    <col collapsed="false" customWidth="true" hidden="false" outlineLevel="0" max="8454" min="8454" style="2" width="48.11"/>
    <col collapsed="false" customWidth="false" hidden="false" outlineLevel="0" max="8704" min="8455" style="2" width="9"/>
    <col collapsed="false" customWidth="true" hidden="false" outlineLevel="0" max="8705" min="8705" style="2" width="28.11"/>
    <col collapsed="false" customWidth="true" hidden="false" outlineLevel="0" max="8706" min="8706" style="2" width="10"/>
    <col collapsed="false" customWidth="true" hidden="false" outlineLevel="0" max="8707" min="8707" style="2" width="14.34"/>
    <col collapsed="false" customWidth="true" hidden="false" outlineLevel="0" max="8708" min="8708" style="2" width="8"/>
    <col collapsed="false" customWidth="true" hidden="false" outlineLevel="0" max="8709" min="8709" style="2" width="38"/>
    <col collapsed="false" customWidth="true" hidden="false" outlineLevel="0" max="8710" min="8710" style="2" width="48.11"/>
    <col collapsed="false" customWidth="false" hidden="false" outlineLevel="0" max="8960" min="8711" style="2" width="9"/>
    <col collapsed="false" customWidth="true" hidden="false" outlineLevel="0" max="8961" min="8961" style="2" width="28.11"/>
    <col collapsed="false" customWidth="true" hidden="false" outlineLevel="0" max="8962" min="8962" style="2" width="10"/>
    <col collapsed="false" customWidth="true" hidden="false" outlineLevel="0" max="8963" min="8963" style="2" width="14.34"/>
    <col collapsed="false" customWidth="true" hidden="false" outlineLevel="0" max="8964" min="8964" style="2" width="8"/>
    <col collapsed="false" customWidth="true" hidden="false" outlineLevel="0" max="8965" min="8965" style="2" width="38"/>
    <col collapsed="false" customWidth="true" hidden="false" outlineLevel="0" max="8966" min="8966" style="2" width="48.11"/>
    <col collapsed="false" customWidth="false" hidden="false" outlineLevel="0" max="9216" min="8967" style="2" width="9"/>
    <col collapsed="false" customWidth="true" hidden="false" outlineLevel="0" max="9217" min="9217" style="2" width="28.11"/>
    <col collapsed="false" customWidth="true" hidden="false" outlineLevel="0" max="9218" min="9218" style="2" width="10"/>
    <col collapsed="false" customWidth="true" hidden="false" outlineLevel="0" max="9219" min="9219" style="2" width="14.34"/>
    <col collapsed="false" customWidth="true" hidden="false" outlineLevel="0" max="9220" min="9220" style="2" width="8"/>
    <col collapsed="false" customWidth="true" hidden="false" outlineLevel="0" max="9221" min="9221" style="2" width="38"/>
    <col collapsed="false" customWidth="true" hidden="false" outlineLevel="0" max="9222" min="9222" style="2" width="48.11"/>
    <col collapsed="false" customWidth="false" hidden="false" outlineLevel="0" max="9472" min="9223" style="2" width="9"/>
    <col collapsed="false" customWidth="true" hidden="false" outlineLevel="0" max="9473" min="9473" style="2" width="28.11"/>
    <col collapsed="false" customWidth="true" hidden="false" outlineLevel="0" max="9474" min="9474" style="2" width="10"/>
    <col collapsed="false" customWidth="true" hidden="false" outlineLevel="0" max="9475" min="9475" style="2" width="14.34"/>
    <col collapsed="false" customWidth="true" hidden="false" outlineLevel="0" max="9476" min="9476" style="2" width="8"/>
    <col collapsed="false" customWidth="true" hidden="false" outlineLevel="0" max="9477" min="9477" style="2" width="38"/>
    <col collapsed="false" customWidth="true" hidden="false" outlineLevel="0" max="9478" min="9478" style="2" width="48.11"/>
    <col collapsed="false" customWidth="false" hidden="false" outlineLevel="0" max="9728" min="9479" style="2" width="9"/>
    <col collapsed="false" customWidth="true" hidden="false" outlineLevel="0" max="9729" min="9729" style="2" width="28.11"/>
    <col collapsed="false" customWidth="true" hidden="false" outlineLevel="0" max="9730" min="9730" style="2" width="10"/>
    <col collapsed="false" customWidth="true" hidden="false" outlineLevel="0" max="9731" min="9731" style="2" width="14.34"/>
    <col collapsed="false" customWidth="true" hidden="false" outlineLevel="0" max="9732" min="9732" style="2" width="8"/>
    <col collapsed="false" customWidth="true" hidden="false" outlineLevel="0" max="9733" min="9733" style="2" width="38"/>
    <col collapsed="false" customWidth="true" hidden="false" outlineLevel="0" max="9734" min="9734" style="2" width="48.11"/>
    <col collapsed="false" customWidth="false" hidden="false" outlineLevel="0" max="9984" min="9735" style="2" width="9"/>
    <col collapsed="false" customWidth="true" hidden="false" outlineLevel="0" max="9985" min="9985" style="2" width="28.11"/>
    <col collapsed="false" customWidth="true" hidden="false" outlineLevel="0" max="9986" min="9986" style="2" width="10"/>
    <col collapsed="false" customWidth="true" hidden="false" outlineLevel="0" max="9987" min="9987" style="2" width="14.34"/>
    <col collapsed="false" customWidth="true" hidden="false" outlineLevel="0" max="9988" min="9988" style="2" width="8"/>
    <col collapsed="false" customWidth="true" hidden="false" outlineLevel="0" max="9989" min="9989" style="2" width="38"/>
    <col collapsed="false" customWidth="true" hidden="false" outlineLevel="0" max="9990" min="9990" style="2" width="48.11"/>
    <col collapsed="false" customWidth="false" hidden="false" outlineLevel="0" max="10240" min="9991" style="2" width="9"/>
    <col collapsed="false" customWidth="true" hidden="false" outlineLevel="0" max="10241" min="10241" style="2" width="28.11"/>
    <col collapsed="false" customWidth="true" hidden="false" outlineLevel="0" max="10242" min="10242" style="2" width="10"/>
    <col collapsed="false" customWidth="true" hidden="false" outlineLevel="0" max="10243" min="10243" style="2" width="14.34"/>
    <col collapsed="false" customWidth="true" hidden="false" outlineLevel="0" max="10244" min="10244" style="2" width="8"/>
    <col collapsed="false" customWidth="true" hidden="false" outlineLevel="0" max="10245" min="10245" style="2" width="38"/>
    <col collapsed="false" customWidth="true" hidden="false" outlineLevel="0" max="10246" min="10246" style="2" width="48.11"/>
    <col collapsed="false" customWidth="false" hidden="false" outlineLevel="0" max="10496" min="10247" style="2" width="9"/>
    <col collapsed="false" customWidth="true" hidden="false" outlineLevel="0" max="10497" min="10497" style="2" width="28.11"/>
    <col collapsed="false" customWidth="true" hidden="false" outlineLevel="0" max="10498" min="10498" style="2" width="10"/>
    <col collapsed="false" customWidth="true" hidden="false" outlineLevel="0" max="10499" min="10499" style="2" width="14.34"/>
    <col collapsed="false" customWidth="true" hidden="false" outlineLevel="0" max="10500" min="10500" style="2" width="8"/>
    <col collapsed="false" customWidth="true" hidden="false" outlineLevel="0" max="10501" min="10501" style="2" width="38"/>
    <col collapsed="false" customWidth="true" hidden="false" outlineLevel="0" max="10502" min="10502" style="2" width="48.11"/>
    <col collapsed="false" customWidth="false" hidden="false" outlineLevel="0" max="10752" min="10503" style="2" width="9"/>
    <col collapsed="false" customWidth="true" hidden="false" outlineLevel="0" max="10753" min="10753" style="2" width="28.11"/>
    <col collapsed="false" customWidth="true" hidden="false" outlineLevel="0" max="10754" min="10754" style="2" width="10"/>
    <col collapsed="false" customWidth="true" hidden="false" outlineLevel="0" max="10755" min="10755" style="2" width="14.34"/>
    <col collapsed="false" customWidth="true" hidden="false" outlineLevel="0" max="10756" min="10756" style="2" width="8"/>
    <col collapsed="false" customWidth="true" hidden="false" outlineLevel="0" max="10757" min="10757" style="2" width="38"/>
    <col collapsed="false" customWidth="true" hidden="false" outlineLevel="0" max="10758" min="10758" style="2" width="48.11"/>
    <col collapsed="false" customWidth="false" hidden="false" outlineLevel="0" max="11008" min="10759" style="2" width="9"/>
    <col collapsed="false" customWidth="true" hidden="false" outlineLevel="0" max="11009" min="11009" style="2" width="28.11"/>
    <col collapsed="false" customWidth="true" hidden="false" outlineLevel="0" max="11010" min="11010" style="2" width="10"/>
    <col collapsed="false" customWidth="true" hidden="false" outlineLevel="0" max="11011" min="11011" style="2" width="14.34"/>
    <col collapsed="false" customWidth="true" hidden="false" outlineLevel="0" max="11012" min="11012" style="2" width="8"/>
    <col collapsed="false" customWidth="true" hidden="false" outlineLevel="0" max="11013" min="11013" style="2" width="38"/>
    <col collapsed="false" customWidth="true" hidden="false" outlineLevel="0" max="11014" min="11014" style="2" width="48.11"/>
    <col collapsed="false" customWidth="false" hidden="false" outlineLevel="0" max="11264" min="11015" style="2" width="9"/>
    <col collapsed="false" customWidth="true" hidden="false" outlineLevel="0" max="11265" min="11265" style="2" width="28.11"/>
    <col collapsed="false" customWidth="true" hidden="false" outlineLevel="0" max="11266" min="11266" style="2" width="10"/>
    <col collapsed="false" customWidth="true" hidden="false" outlineLevel="0" max="11267" min="11267" style="2" width="14.34"/>
    <col collapsed="false" customWidth="true" hidden="false" outlineLevel="0" max="11268" min="11268" style="2" width="8"/>
    <col collapsed="false" customWidth="true" hidden="false" outlineLevel="0" max="11269" min="11269" style="2" width="38"/>
    <col collapsed="false" customWidth="true" hidden="false" outlineLevel="0" max="11270" min="11270" style="2" width="48.11"/>
    <col collapsed="false" customWidth="false" hidden="false" outlineLevel="0" max="11520" min="11271" style="2" width="9"/>
    <col collapsed="false" customWidth="true" hidden="false" outlineLevel="0" max="11521" min="11521" style="2" width="28.11"/>
    <col collapsed="false" customWidth="true" hidden="false" outlineLevel="0" max="11522" min="11522" style="2" width="10"/>
    <col collapsed="false" customWidth="true" hidden="false" outlineLevel="0" max="11523" min="11523" style="2" width="14.34"/>
    <col collapsed="false" customWidth="true" hidden="false" outlineLevel="0" max="11524" min="11524" style="2" width="8"/>
    <col collapsed="false" customWidth="true" hidden="false" outlineLevel="0" max="11525" min="11525" style="2" width="38"/>
    <col collapsed="false" customWidth="true" hidden="false" outlineLevel="0" max="11526" min="11526" style="2" width="48.11"/>
    <col collapsed="false" customWidth="false" hidden="false" outlineLevel="0" max="11776" min="11527" style="2" width="9"/>
    <col collapsed="false" customWidth="true" hidden="false" outlineLevel="0" max="11777" min="11777" style="2" width="28.11"/>
    <col collapsed="false" customWidth="true" hidden="false" outlineLevel="0" max="11778" min="11778" style="2" width="10"/>
    <col collapsed="false" customWidth="true" hidden="false" outlineLevel="0" max="11779" min="11779" style="2" width="14.34"/>
    <col collapsed="false" customWidth="true" hidden="false" outlineLevel="0" max="11780" min="11780" style="2" width="8"/>
    <col collapsed="false" customWidth="true" hidden="false" outlineLevel="0" max="11781" min="11781" style="2" width="38"/>
    <col collapsed="false" customWidth="true" hidden="false" outlineLevel="0" max="11782" min="11782" style="2" width="48.11"/>
    <col collapsed="false" customWidth="false" hidden="false" outlineLevel="0" max="12032" min="11783" style="2" width="9"/>
    <col collapsed="false" customWidth="true" hidden="false" outlineLevel="0" max="12033" min="12033" style="2" width="28.11"/>
    <col collapsed="false" customWidth="true" hidden="false" outlineLevel="0" max="12034" min="12034" style="2" width="10"/>
    <col collapsed="false" customWidth="true" hidden="false" outlineLevel="0" max="12035" min="12035" style="2" width="14.34"/>
    <col collapsed="false" customWidth="true" hidden="false" outlineLevel="0" max="12036" min="12036" style="2" width="8"/>
    <col collapsed="false" customWidth="true" hidden="false" outlineLevel="0" max="12037" min="12037" style="2" width="38"/>
    <col collapsed="false" customWidth="true" hidden="false" outlineLevel="0" max="12038" min="12038" style="2" width="48.11"/>
    <col collapsed="false" customWidth="false" hidden="false" outlineLevel="0" max="12288" min="12039" style="2" width="9"/>
    <col collapsed="false" customWidth="true" hidden="false" outlineLevel="0" max="12289" min="12289" style="2" width="28.11"/>
    <col collapsed="false" customWidth="true" hidden="false" outlineLevel="0" max="12290" min="12290" style="2" width="10"/>
    <col collapsed="false" customWidth="true" hidden="false" outlineLevel="0" max="12291" min="12291" style="2" width="14.34"/>
    <col collapsed="false" customWidth="true" hidden="false" outlineLevel="0" max="12292" min="12292" style="2" width="8"/>
    <col collapsed="false" customWidth="true" hidden="false" outlineLevel="0" max="12293" min="12293" style="2" width="38"/>
    <col collapsed="false" customWidth="true" hidden="false" outlineLevel="0" max="12294" min="12294" style="2" width="48.11"/>
    <col collapsed="false" customWidth="false" hidden="false" outlineLevel="0" max="12544" min="12295" style="2" width="9"/>
    <col collapsed="false" customWidth="true" hidden="false" outlineLevel="0" max="12545" min="12545" style="2" width="28.11"/>
    <col collapsed="false" customWidth="true" hidden="false" outlineLevel="0" max="12546" min="12546" style="2" width="10"/>
    <col collapsed="false" customWidth="true" hidden="false" outlineLevel="0" max="12547" min="12547" style="2" width="14.34"/>
    <col collapsed="false" customWidth="true" hidden="false" outlineLevel="0" max="12548" min="12548" style="2" width="8"/>
    <col collapsed="false" customWidth="true" hidden="false" outlineLevel="0" max="12549" min="12549" style="2" width="38"/>
    <col collapsed="false" customWidth="true" hidden="false" outlineLevel="0" max="12550" min="12550" style="2" width="48.11"/>
    <col collapsed="false" customWidth="false" hidden="false" outlineLevel="0" max="12800" min="12551" style="2" width="9"/>
    <col collapsed="false" customWidth="true" hidden="false" outlineLevel="0" max="12801" min="12801" style="2" width="28.11"/>
    <col collapsed="false" customWidth="true" hidden="false" outlineLevel="0" max="12802" min="12802" style="2" width="10"/>
    <col collapsed="false" customWidth="true" hidden="false" outlineLevel="0" max="12803" min="12803" style="2" width="14.34"/>
    <col collapsed="false" customWidth="true" hidden="false" outlineLevel="0" max="12804" min="12804" style="2" width="8"/>
    <col collapsed="false" customWidth="true" hidden="false" outlineLevel="0" max="12805" min="12805" style="2" width="38"/>
    <col collapsed="false" customWidth="true" hidden="false" outlineLevel="0" max="12806" min="12806" style="2" width="48.11"/>
    <col collapsed="false" customWidth="false" hidden="false" outlineLevel="0" max="13056" min="12807" style="2" width="9"/>
    <col collapsed="false" customWidth="true" hidden="false" outlineLevel="0" max="13057" min="13057" style="2" width="28.11"/>
    <col collapsed="false" customWidth="true" hidden="false" outlineLevel="0" max="13058" min="13058" style="2" width="10"/>
    <col collapsed="false" customWidth="true" hidden="false" outlineLevel="0" max="13059" min="13059" style="2" width="14.34"/>
    <col collapsed="false" customWidth="true" hidden="false" outlineLevel="0" max="13060" min="13060" style="2" width="8"/>
    <col collapsed="false" customWidth="true" hidden="false" outlineLevel="0" max="13061" min="13061" style="2" width="38"/>
    <col collapsed="false" customWidth="true" hidden="false" outlineLevel="0" max="13062" min="13062" style="2" width="48.11"/>
    <col collapsed="false" customWidth="false" hidden="false" outlineLevel="0" max="13312" min="13063" style="2" width="9"/>
    <col collapsed="false" customWidth="true" hidden="false" outlineLevel="0" max="13313" min="13313" style="2" width="28.11"/>
    <col collapsed="false" customWidth="true" hidden="false" outlineLevel="0" max="13314" min="13314" style="2" width="10"/>
    <col collapsed="false" customWidth="true" hidden="false" outlineLevel="0" max="13315" min="13315" style="2" width="14.34"/>
    <col collapsed="false" customWidth="true" hidden="false" outlineLevel="0" max="13316" min="13316" style="2" width="8"/>
    <col collapsed="false" customWidth="true" hidden="false" outlineLevel="0" max="13317" min="13317" style="2" width="38"/>
    <col collapsed="false" customWidth="true" hidden="false" outlineLevel="0" max="13318" min="13318" style="2" width="48.11"/>
    <col collapsed="false" customWidth="false" hidden="false" outlineLevel="0" max="13568" min="13319" style="2" width="9"/>
    <col collapsed="false" customWidth="true" hidden="false" outlineLevel="0" max="13569" min="13569" style="2" width="28.11"/>
    <col collapsed="false" customWidth="true" hidden="false" outlineLevel="0" max="13570" min="13570" style="2" width="10"/>
    <col collapsed="false" customWidth="true" hidden="false" outlineLevel="0" max="13571" min="13571" style="2" width="14.34"/>
    <col collapsed="false" customWidth="true" hidden="false" outlineLevel="0" max="13572" min="13572" style="2" width="8"/>
    <col collapsed="false" customWidth="true" hidden="false" outlineLevel="0" max="13573" min="13573" style="2" width="38"/>
    <col collapsed="false" customWidth="true" hidden="false" outlineLevel="0" max="13574" min="13574" style="2" width="48.11"/>
    <col collapsed="false" customWidth="false" hidden="false" outlineLevel="0" max="13824" min="13575" style="2" width="9"/>
    <col collapsed="false" customWidth="true" hidden="false" outlineLevel="0" max="13825" min="13825" style="2" width="28.11"/>
    <col collapsed="false" customWidth="true" hidden="false" outlineLevel="0" max="13826" min="13826" style="2" width="10"/>
    <col collapsed="false" customWidth="true" hidden="false" outlineLevel="0" max="13827" min="13827" style="2" width="14.34"/>
    <col collapsed="false" customWidth="true" hidden="false" outlineLevel="0" max="13828" min="13828" style="2" width="8"/>
    <col collapsed="false" customWidth="true" hidden="false" outlineLevel="0" max="13829" min="13829" style="2" width="38"/>
    <col collapsed="false" customWidth="true" hidden="false" outlineLevel="0" max="13830" min="13830" style="2" width="48.11"/>
    <col collapsed="false" customWidth="false" hidden="false" outlineLevel="0" max="14080" min="13831" style="2" width="9"/>
    <col collapsed="false" customWidth="true" hidden="false" outlineLevel="0" max="14081" min="14081" style="2" width="28.11"/>
    <col collapsed="false" customWidth="true" hidden="false" outlineLevel="0" max="14082" min="14082" style="2" width="10"/>
    <col collapsed="false" customWidth="true" hidden="false" outlineLevel="0" max="14083" min="14083" style="2" width="14.34"/>
    <col collapsed="false" customWidth="true" hidden="false" outlineLevel="0" max="14084" min="14084" style="2" width="8"/>
    <col collapsed="false" customWidth="true" hidden="false" outlineLevel="0" max="14085" min="14085" style="2" width="38"/>
    <col collapsed="false" customWidth="true" hidden="false" outlineLevel="0" max="14086" min="14086" style="2" width="48.11"/>
    <col collapsed="false" customWidth="false" hidden="false" outlineLevel="0" max="14336" min="14087" style="2" width="9"/>
    <col collapsed="false" customWidth="true" hidden="false" outlineLevel="0" max="14337" min="14337" style="2" width="28.11"/>
    <col collapsed="false" customWidth="true" hidden="false" outlineLevel="0" max="14338" min="14338" style="2" width="10"/>
    <col collapsed="false" customWidth="true" hidden="false" outlineLevel="0" max="14339" min="14339" style="2" width="14.34"/>
    <col collapsed="false" customWidth="true" hidden="false" outlineLevel="0" max="14340" min="14340" style="2" width="8"/>
    <col collapsed="false" customWidth="true" hidden="false" outlineLevel="0" max="14341" min="14341" style="2" width="38"/>
    <col collapsed="false" customWidth="true" hidden="false" outlineLevel="0" max="14342" min="14342" style="2" width="48.11"/>
    <col collapsed="false" customWidth="false" hidden="false" outlineLevel="0" max="14592" min="14343" style="2" width="9"/>
    <col collapsed="false" customWidth="true" hidden="false" outlineLevel="0" max="14593" min="14593" style="2" width="28.11"/>
    <col collapsed="false" customWidth="true" hidden="false" outlineLevel="0" max="14594" min="14594" style="2" width="10"/>
    <col collapsed="false" customWidth="true" hidden="false" outlineLevel="0" max="14595" min="14595" style="2" width="14.34"/>
    <col collapsed="false" customWidth="true" hidden="false" outlineLevel="0" max="14596" min="14596" style="2" width="8"/>
    <col collapsed="false" customWidth="true" hidden="false" outlineLevel="0" max="14597" min="14597" style="2" width="38"/>
    <col collapsed="false" customWidth="true" hidden="false" outlineLevel="0" max="14598" min="14598" style="2" width="48.11"/>
    <col collapsed="false" customWidth="false" hidden="false" outlineLevel="0" max="14848" min="14599" style="2" width="9"/>
    <col collapsed="false" customWidth="true" hidden="false" outlineLevel="0" max="14849" min="14849" style="2" width="28.11"/>
    <col collapsed="false" customWidth="true" hidden="false" outlineLevel="0" max="14850" min="14850" style="2" width="10"/>
    <col collapsed="false" customWidth="true" hidden="false" outlineLevel="0" max="14851" min="14851" style="2" width="14.34"/>
    <col collapsed="false" customWidth="true" hidden="false" outlineLevel="0" max="14852" min="14852" style="2" width="8"/>
    <col collapsed="false" customWidth="true" hidden="false" outlineLevel="0" max="14853" min="14853" style="2" width="38"/>
    <col collapsed="false" customWidth="true" hidden="false" outlineLevel="0" max="14854" min="14854" style="2" width="48.11"/>
    <col collapsed="false" customWidth="false" hidden="false" outlineLevel="0" max="15104" min="14855" style="2" width="9"/>
    <col collapsed="false" customWidth="true" hidden="false" outlineLevel="0" max="15105" min="15105" style="2" width="28.11"/>
    <col collapsed="false" customWidth="true" hidden="false" outlineLevel="0" max="15106" min="15106" style="2" width="10"/>
    <col collapsed="false" customWidth="true" hidden="false" outlineLevel="0" max="15107" min="15107" style="2" width="14.34"/>
    <col collapsed="false" customWidth="true" hidden="false" outlineLevel="0" max="15108" min="15108" style="2" width="8"/>
    <col collapsed="false" customWidth="true" hidden="false" outlineLevel="0" max="15109" min="15109" style="2" width="38"/>
    <col collapsed="false" customWidth="true" hidden="false" outlineLevel="0" max="15110" min="15110" style="2" width="48.11"/>
    <col collapsed="false" customWidth="false" hidden="false" outlineLevel="0" max="15360" min="15111" style="2" width="9"/>
    <col collapsed="false" customWidth="true" hidden="false" outlineLevel="0" max="15361" min="15361" style="2" width="28.11"/>
    <col collapsed="false" customWidth="true" hidden="false" outlineLevel="0" max="15362" min="15362" style="2" width="10"/>
    <col collapsed="false" customWidth="true" hidden="false" outlineLevel="0" max="15363" min="15363" style="2" width="14.34"/>
    <col collapsed="false" customWidth="true" hidden="false" outlineLevel="0" max="15364" min="15364" style="2" width="8"/>
    <col collapsed="false" customWidth="true" hidden="false" outlineLevel="0" max="15365" min="15365" style="2" width="38"/>
    <col collapsed="false" customWidth="true" hidden="false" outlineLevel="0" max="15366" min="15366" style="2" width="48.11"/>
    <col collapsed="false" customWidth="false" hidden="false" outlineLevel="0" max="15616" min="15367" style="2" width="9"/>
    <col collapsed="false" customWidth="true" hidden="false" outlineLevel="0" max="15617" min="15617" style="2" width="28.11"/>
    <col collapsed="false" customWidth="true" hidden="false" outlineLevel="0" max="15618" min="15618" style="2" width="10"/>
    <col collapsed="false" customWidth="true" hidden="false" outlineLevel="0" max="15619" min="15619" style="2" width="14.34"/>
    <col collapsed="false" customWidth="true" hidden="false" outlineLevel="0" max="15620" min="15620" style="2" width="8"/>
    <col collapsed="false" customWidth="true" hidden="false" outlineLevel="0" max="15621" min="15621" style="2" width="38"/>
    <col collapsed="false" customWidth="true" hidden="false" outlineLevel="0" max="15622" min="15622" style="2" width="48.11"/>
    <col collapsed="false" customWidth="false" hidden="false" outlineLevel="0" max="15872" min="15623" style="2" width="9"/>
    <col collapsed="false" customWidth="true" hidden="false" outlineLevel="0" max="15873" min="15873" style="2" width="28.11"/>
    <col collapsed="false" customWidth="true" hidden="false" outlineLevel="0" max="15874" min="15874" style="2" width="10"/>
    <col collapsed="false" customWidth="true" hidden="false" outlineLevel="0" max="15875" min="15875" style="2" width="14.34"/>
    <col collapsed="false" customWidth="true" hidden="false" outlineLevel="0" max="15876" min="15876" style="2" width="8"/>
    <col collapsed="false" customWidth="true" hidden="false" outlineLevel="0" max="15877" min="15877" style="2" width="38"/>
    <col collapsed="false" customWidth="true" hidden="false" outlineLevel="0" max="15878" min="15878" style="2" width="48.11"/>
    <col collapsed="false" customWidth="false" hidden="false" outlineLevel="0" max="16128" min="15879" style="2" width="9"/>
    <col collapsed="false" customWidth="true" hidden="false" outlineLevel="0" max="16129" min="16129" style="2" width="28.11"/>
    <col collapsed="false" customWidth="true" hidden="false" outlineLevel="0" max="16130" min="16130" style="2" width="10"/>
    <col collapsed="false" customWidth="true" hidden="false" outlineLevel="0" max="16131" min="16131" style="2" width="14.34"/>
    <col collapsed="false" customWidth="true" hidden="false" outlineLevel="0" max="16132" min="16132" style="2" width="8"/>
    <col collapsed="false" customWidth="true" hidden="false" outlineLevel="0" max="16133" min="16133" style="2" width="38"/>
    <col collapsed="false" customWidth="true" hidden="false" outlineLevel="0" max="16134" min="16134" style="2" width="48.11"/>
    <col collapsed="false" customWidth="false" hidden="false" outlineLevel="0" max="16384" min="16135" style="2" width="9"/>
  </cols>
  <sheetData>
    <row r="2" s="5" customFormat="true" ht="75.75" hidden="false" customHeight="true" outlineLevel="0" collapsed="false">
      <c r="A2" s="3"/>
      <c r="B2" s="4" t="s">
        <v>0</v>
      </c>
      <c r="C2" s="4"/>
      <c r="D2" s="4"/>
      <c r="E2" s="4"/>
      <c r="F2" s="4"/>
    </row>
    <row r="3" customFormat="false" ht="12.75" hidden="false" customHeight="false" outlineLevel="0" collapsed="false">
      <c r="A3" s="6"/>
      <c r="B3" s="7"/>
      <c r="E3" s="8"/>
    </row>
    <row r="4" customFormat="false" ht="14.25" hidden="false" customHeight="true" outlineLevel="0" collapsed="false">
      <c r="A4" s="9" t="s">
        <v>1</v>
      </c>
      <c r="B4" s="10" t="s">
        <v>2</v>
      </c>
      <c r="C4" s="10"/>
      <c r="D4" s="10"/>
      <c r="E4" s="9" t="s">
        <v>3</v>
      </c>
      <c r="F4" s="11" t="s">
        <v>4</v>
      </c>
    </row>
    <row r="5" customFormat="false" ht="14.25" hidden="false" customHeight="true" outlineLevel="0" collapsed="false">
      <c r="A5" s="9" t="s">
        <v>5</v>
      </c>
      <c r="B5" s="10" t="s">
        <v>6</v>
      </c>
      <c r="C5" s="10"/>
      <c r="D5" s="10"/>
      <c r="E5" s="9" t="s">
        <v>7</v>
      </c>
      <c r="F5" s="12" t="s">
        <v>8</v>
      </c>
    </row>
    <row r="6" customFormat="false" ht="15.75" hidden="false" customHeight="true" outlineLevel="0" collapsed="false">
      <c r="A6" s="13" t="s">
        <v>9</v>
      </c>
      <c r="B6" s="14" t="str">
        <f aca="false">B5&amp;"_"&amp;"XXX"&amp;"_"&amp;"vx.x"</f>
        <v>RCHS_XXX_vx.x</v>
      </c>
      <c r="C6" s="14"/>
      <c r="D6" s="14"/>
      <c r="E6" s="9" t="s">
        <v>10</v>
      </c>
      <c r="F6" s="15" t="s">
        <v>11</v>
      </c>
    </row>
    <row r="7" customFormat="false" ht="12.75" hidden="false" customHeight="false" outlineLevel="0" collapsed="false">
      <c r="A7" s="16"/>
      <c r="B7" s="17"/>
      <c r="E7" s="18"/>
      <c r="F7" s="7"/>
    </row>
    <row r="8" s="2" customFormat="true" ht="12.75" hidden="false" customHeight="false" outlineLevel="0" collapsed="false"/>
    <row r="9" customFormat="false" ht="12.75" hidden="false" customHeight="false" outlineLevel="0" collapsed="false">
      <c r="A9" s="19" t="s">
        <v>12</v>
      </c>
    </row>
    <row r="10" s="23" customFormat="true" ht="12.75" hidden="false" customHeight="false" outlineLevel="0" collapsed="false">
      <c r="A10" s="20" t="s">
        <v>13</v>
      </c>
      <c r="B10" s="21" t="s">
        <v>10</v>
      </c>
      <c r="C10" s="21" t="s">
        <v>14</v>
      </c>
      <c r="D10" s="21" t="s">
        <v>15</v>
      </c>
      <c r="E10" s="21" t="s">
        <v>16</v>
      </c>
      <c r="F10" s="22" t="s">
        <v>17</v>
      </c>
    </row>
    <row r="11" s="29" customFormat="true" ht="26.25" hidden="false" customHeight="true" outlineLevel="0" collapsed="false">
      <c r="A11" s="24" t="s">
        <v>18</v>
      </c>
      <c r="B11" s="25" t="s">
        <v>11</v>
      </c>
      <c r="C11" s="26" t="s">
        <v>19</v>
      </c>
      <c r="D11" s="26" t="s">
        <v>20</v>
      </c>
      <c r="E11" s="27" t="s">
        <v>21</v>
      </c>
      <c r="F11" s="28" t="s">
        <v>22</v>
      </c>
    </row>
    <row r="12" s="29" customFormat="true" ht="21.75" hidden="false" customHeight="true" outlineLevel="0" collapsed="false">
      <c r="A12" s="30"/>
      <c r="B12" s="25"/>
      <c r="C12" s="26"/>
      <c r="D12" s="26"/>
      <c r="E12" s="26"/>
      <c r="F12" s="31"/>
    </row>
    <row r="13" s="29" customFormat="true" ht="19.5" hidden="false" customHeight="true" outlineLevel="0" collapsed="false">
      <c r="A13" s="30"/>
      <c r="B13" s="25"/>
      <c r="C13" s="26"/>
      <c r="D13" s="26"/>
      <c r="E13" s="26"/>
      <c r="F13" s="31"/>
    </row>
    <row r="14" s="29" customFormat="true" ht="21.75" hidden="false" customHeight="true" outlineLevel="0" collapsed="false">
      <c r="A14" s="30"/>
      <c r="B14" s="25"/>
      <c r="C14" s="26"/>
      <c r="D14" s="26"/>
      <c r="E14" s="26"/>
      <c r="F14" s="31"/>
    </row>
    <row r="15" s="29" customFormat="true" ht="19.5" hidden="false" customHeight="true" outlineLevel="0" collapsed="false">
      <c r="A15" s="30"/>
      <c r="B15" s="25"/>
      <c r="C15" s="26"/>
      <c r="D15" s="26"/>
      <c r="E15" s="26"/>
      <c r="F15" s="31"/>
    </row>
    <row r="16" s="29" customFormat="true" ht="21.75" hidden="false" customHeight="true" outlineLevel="0" collapsed="false">
      <c r="A16" s="30"/>
      <c r="B16" s="25"/>
      <c r="C16" s="26"/>
      <c r="D16" s="26"/>
      <c r="E16" s="26"/>
      <c r="F16" s="31"/>
    </row>
    <row r="17" s="29" customFormat="true" ht="19.5" hidden="false" customHeight="true" outlineLevel="0" collapsed="false">
      <c r="A17" s="32"/>
      <c r="B17" s="33"/>
      <c r="C17" s="34"/>
      <c r="D17" s="34"/>
      <c r="E17" s="34"/>
      <c r="F17" s="35"/>
    </row>
  </sheetData>
  <mergeCells count="4">
    <mergeCell ref="B2:F2"/>
    <mergeCell ref="B4:D4"/>
    <mergeCell ref="B5:D5"/>
    <mergeCell ref="B6:D6"/>
  </mergeCells>
  <printOptions headings="false" gridLines="false" gridLinesSet="true" horizontalCentered="false" verticalCentered="false"/>
  <pageMargins left="0.470138888888889" right="0.470138888888889" top="0.5" bottom="0.351388888888889" header="0.511811023622047" footer="0.170138888888889"/>
  <pageSetup paperSize="9" scale="100" fitToWidth="1" fitToHeight="1" pageOrder="downThenOver" orientation="landscape" blackAndWhite="false" draft="false" cellComments="none" horizontalDpi="300" verticalDpi="300" copies="1"/>
  <headerFooter differentFirst="false" differentOddEven="false">
    <oddHeader/>
    <oddFooter>&amp;L&amp;"Tahoma,Regular"&amp;8 02ae-BM/PM/HDCV/FSOFT v2/1&amp;C&amp;"Tahoma,Regular"&amp;8Internal use&amp;R&amp;"tahomaTahoma,Regular"&amp;8&amp;P/&amp;N</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9.00390625" defaultRowHeight="12.75" customHeight="false" zeroHeight="false" outlineLevelRow="0" outlineLevelCol="0"/>
  <cols>
    <col collapsed="false" customWidth="true" hidden="false" outlineLevel="0" max="1" min="1" style="36" width="1.33"/>
    <col collapsed="false" customWidth="true" hidden="false" outlineLevel="0" max="2" min="2" style="37" width="6.44"/>
    <col collapsed="false" customWidth="true" hidden="false" outlineLevel="0" max="3" min="3" style="38" width="26.44"/>
    <col collapsed="false" customWidth="true" hidden="false" outlineLevel="0" max="4" min="4" style="38" width="17.89"/>
    <col collapsed="false" customWidth="true" hidden="false" outlineLevel="0" max="5" min="5" style="38" width="47.45"/>
    <col collapsed="false" customWidth="true" hidden="false" outlineLevel="0" max="6" min="6" style="38" width="85.56"/>
    <col collapsed="false" customWidth="false" hidden="false" outlineLevel="0" max="16384" min="7" style="36" width="9"/>
  </cols>
  <sheetData>
    <row r="1" customFormat="false" ht="24" hidden="false" customHeight="false" outlineLevel="0" collapsed="false">
      <c r="B1" s="39"/>
      <c r="D1" s="40" t="s">
        <v>23</v>
      </c>
      <c r="E1" s="41"/>
    </row>
    <row r="2" customFormat="false" ht="13.5" hidden="false" customHeight="true" outlineLevel="0" collapsed="false">
      <c r="B2" s="39"/>
      <c r="D2" s="42"/>
      <c r="E2" s="42"/>
    </row>
    <row r="3" customFormat="false" ht="12.75" hidden="false" customHeight="false" outlineLevel="0" collapsed="false">
      <c r="B3" s="43" t="s">
        <v>1</v>
      </c>
      <c r="C3" s="43"/>
      <c r="D3" s="44" t="str">
        <f aca="false">Cover!B4</f>
        <v>Ralsei Coach House System</v>
      </c>
      <c r="E3" s="44"/>
      <c r="F3" s="44"/>
    </row>
    <row r="4" customFormat="false" ht="12.75" hidden="false" customHeight="false" outlineLevel="0" collapsed="false">
      <c r="B4" s="43" t="s">
        <v>5</v>
      </c>
      <c r="C4" s="43"/>
      <c r="D4" s="44" t="str">
        <f aca="false">Cover!B5</f>
        <v>RCHS</v>
      </c>
      <c r="E4" s="44"/>
      <c r="F4" s="44"/>
    </row>
    <row r="5" s="45" customFormat="true" ht="165" hidden="false" customHeight="true" outlineLevel="0" collapsed="false">
      <c r="B5" s="46" t="s">
        <v>24</v>
      </c>
      <c r="C5" s="46"/>
      <c r="D5" s="47" t="s">
        <v>25</v>
      </c>
      <c r="E5" s="47"/>
      <c r="F5" s="47"/>
    </row>
    <row r="6" s="36" customFormat="true" ht="12.75" hidden="false" customHeight="false" outlineLevel="0" collapsed="false">
      <c r="B6" s="48"/>
    </row>
    <row r="7" s="49" customFormat="true" ht="12.75" hidden="false" customHeight="false" outlineLevel="0" collapsed="false">
      <c r="B7" s="50"/>
      <c r="C7" s="51"/>
      <c r="D7" s="51"/>
      <c r="E7" s="51"/>
      <c r="F7" s="51"/>
    </row>
    <row r="8" s="52" customFormat="true" ht="21" hidden="false" customHeight="true" outlineLevel="0" collapsed="false">
      <c r="B8" s="53" t="s">
        <v>26</v>
      </c>
      <c r="C8" s="54" t="s">
        <v>27</v>
      </c>
      <c r="D8" s="54" t="s">
        <v>28</v>
      </c>
      <c r="E8" s="55" t="s">
        <v>29</v>
      </c>
      <c r="F8" s="56" t="s">
        <v>30</v>
      </c>
    </row>
    <row r="9" customFormat="false" ht="68.65" hidden="false" customHeight="false" outlineLevel="0" collapsed="false">
      <c r="B9" s="57" t="n">
        <v>1</v>
      </c>
      <c r="C9" s="58" t="s">
        <v>31</v>
      </c>
      <c r="D9" s="59" t="s">
        <v>31</v>
      </c>
      <c r="E9" s="60" t="s">
        <v>32</v>
      </c>
      <c r="F9" s="61" t="s">
        <v>33</v>
      </c>
    </row>
    <row r="10" customFormat="false" ht="68.65" hidden="false" customHeight="false" outlineLevel="0" collapsed="false">
      <c r="B10" s="57" t="n">
        <v>2</v>
      </c>
      <c r="C10" s="58" t="s">
        <v>34</v>
      </c>
      <c r="D10" s="59" t="s">
        <v>34</v>
      </c>
      <c r="E10" s="60" t="s">
        <v>35</v>
      </c>
      <c r="F10" s="61" t="s">
        <v>36</v>
      </c>
    </row>
    <row r="11" customFormat="false" ht="16.4" hidden="false" customHeight="false" outlineLevel="0" collapsed="false">
      <c r="B11" s="57" t="n">
        <v>3</v>
      </c>
      <c r="C11" s="58" t="s">
        <v>37</v>
      </c>
      <c r="D11" s="62" t="s">
        <v>38</v>
      </c>
      <c r="E11" s="63"/>
      <c r="F11" s="64"/>
    </row>
    <row r="12" customFormat="false" ht="16.4" hidden="false" customHeight="false" outlineLevel="0" collapsed="false">
      <c r="B12" s="57" t="n">
        <v>4</v>
      </c>
      <c r="C12" s="58" t="s">
        <v>39</v>
      </c>
      <c r="D12" s="62" t="s">
        <v>40</v>
      </c>
      <c r="E12" s="63"/>
      <c r="F12" s="64"/>
    </row>
    <row r="13" customFormat="false" ht="16.4" hidden="false" customHeight="false" outlineLevel="0" collapsed="false">
      <c r="B13" s="57" t="n">
        <v>5</v>
      </c>
      <c r="C13" s="58" t="s">
        <v>41</v>
      </c>
      <c r="D13" s="62" t="s">
        <v>40</v>
      </c>
      <c r="E13" s="63"/>
      <c r="F13" s="64"/>
    </row>
    <row r="14" customFormat="false" ht="12.75" hidden="false" customHeight="false" outlineLevel="0" collapsed="false">
      <c r="B14" s="57"/>
      <c r="C14" s="58"/>
      <c r="D14" s="60"/>
      <c r="E14" s="65"/>
      <c r="F14" s="64"/>
    </row>
    <row r="15" customFormat="false" ht="12.75" hidden="false" customHeight="false" outlineLevel="0" collapsed="false">
      <c r="B15" s="57"/>
      <c r="C15" s="58"/>
      <c r="D15" s="60"/>
      <c r="E15" s="65"/>
      <c r="F15" s="64"/>
    </row>
    <row r="16" customFormat="false" ht="12.75" hidden="false" customHeight="false" outlineLevel="0" collapsed="false">
      <c r="B16" s="57"/>
      <c r="C16" s="58"/>
      <c r="D16" s="60"/>
      <c r="E16" s="65"/>
      <c r="F16" s="64"/>
    </row>
    <row r="17" customFormat="false" ht="12.75" hidden="false" customHeight="false" outlineLevel="0" collapsed="false">
      <c r="B17" s="57"/>
      <c r="C17" s="58"/>
      <c r="D17" s="60"/>
      <c r="E17" s="65"/>
      <c r="F17" s="64"/>
    </row>
    <row r="18" customFormat="false" ht="12.75" hidden="false" customHeight="false" outlineLevel="0" collapsed="false">
      <c r="B18" s="57"/>
      <c r="C18" s="58"/>
      <c r="D18" s="65"/>
      <c r="E18" s="65"/>
      <c r="F18" s="64"/>
    </row>
    <row r="19" customFormat="false" ht="12.75" hidden="false" customHeight="false" outlineLevel="0" collapsed="false">
      <c r="B19" s="57"/>
      <c r="C19" s="58"/>
      <c r="D19" s="65"/>
      <c r="E19" s="65"/>
      <c r="F19" s="64"/>
    </row>
    <row r="20" customFormat="false" ht="12.75" hidden="false" customHeight="false" outlineLevel="0" collapsed="false">
      <c r="B20" s="57"/>
      <c r="C20" s="58"/>
      <c r="D20" s="65"/>
      <c r="E20" s="65"/>
      <c r="F20" s="64"/>
    </row>
    <row r="21" customFormat="false" ht="12.75" hidden="false" customHeight="false" outlineLevel="0" collapsed="false">
      <c r="B21" s="66"/>
      <c r="C21" s="67"/>
      <c r="D21" s="68"/>
      <c r="E21" s="68"/>
      <c r="F21" s="69"/>
    </row>
  </sheetData>
  <mergeCells count="6">
    <mergeCell ref="B3:C3"/>
    <mergeCell ref="D3:F3"/>
    <mergeCell ref="B4:C4"/>
    <mergeCell ref="D4:F4"/>
    <mergeCell ref="B5:C5"/>
    <mergeCell ref="D5:F5"/>
  </mergeCells>
  <hyperlinks>
    <hyperlink ref="D9" location="'Workflow Coach'!A1" display="Coach Management"/>
    <hyperlink ref="D10" location="'Coach Type Management'!A1" display="Coach Type Management"/>
    <hyperlink ref="D11" location="'Workflow Name1'!A1" display="Workflow Name1"/>
    <hyperlink ref="D12" location="'Workflow Name2'!A1" display="Workflow Name2"/>
    <hyperlink ref="D13" location="'Workflow Name2'!A1" display="Workflow Name2"/>
  </hyperlinks>
  <printOptions headings="false" gridLines="false" gridLinesSet="true" horizontalCentered="false" verticalCentered="false"/>
  <pageMargins left="0.747916666666667" right="0.747916666666667" top="0.984027777777778" bottom="1.15069444444444" header="0.511811023622047" footer="0.984027777777778"/>
  <pageSetup paperSize="9" scale="100" fitToWidth="1" fitToHeight="1" pageOrder="downThenOver" orientation="landscape" blackAndWhite="false" draft="false" cellComments="none" horizontalDpi="300" verticalDpi="300" copies="1"/>
  <headerFooter differentFirst="false" differentOddEven="false">
    <oddHeader/>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13" activeCellId="0" sqref="H13"/>
    </sheetView>
  </sheetViews>
  <sheetFormatPr defaultColWidth="9.00390625" defaultRowHeight="12.75" customHeight="false" zeroHeight="false" outlineLevelRow="0" outlineLevelCol="0"/>
  <cols>
    <col collapsed="false" customWidth="true" hidden="false" outlineLevel="0" max="1" min="1" style="36" width="4.45"/>
    <col collapsed="false" customWidth="true" hidden="false" outlineLevel="0" max="2" min="2" style="36" width="18.34"/>
    <col collapsed="false" customWidth="true" hidden="false" outlineLevel="0" max="3" min="3" style="36" width="25.22"/>
    <col collapsed="false" customWidth="true" hidden="false" outlineLevel="0" max="6" min="4" style="36" width="11.67"/>
    <col collapsed="false" customWidth="false" hidden="false" outlineLevel="0" max="7" min="7" style="36" width="9"/>
    <col collapsed="false" customWidth="true" hidden="false" outlineLevel="0" max="8" min="8" style="36" width="35.45"/>
    <col collapsed="false" customWidth="true" hidden="false" outlineLevel="0" max="9" min="9" style="36" width="33.11"/>
    <col collapsed="false" customWidth="false" hidden="false" outlineLevel="0" max="16384" min="10" style="36" width="9"/>
  </cols>
  <sheetData>
    <row r="1" customFormat="false" ht="25.5" hidden="false" customHeight="true" outlineLevel="0" collapsed="false">
      <c r="B1" s="70" t="s">
        <v>42</v>
      </c>
      <c r="C1" s="70"/>
      <c r="D1" s="70"/>
      <c r="E1" s="70"/>
      <c r="F1" s="70"/>
      <c r="G1" s="70"/>
      <c r="H1" s="70"/>
    </row>
    <row r="2" customFormat="false" ht="14.25" hidden="false" customHeight="true" outlineLevel="0" collapsed="false">
      <c r="A2" s="71"/>
      <c r="B2" s="71"/>
      <c r="C2" s="72"/>
      <c r="D2" s="72"/>
      <c r="E2" s="72"/>
      <c r="F2" s="72"/>
      <c r="G2" s="72"/>
      <c r="H2" s="73"/>
    </row>
    <row r="3" customFormat="false" ht="12" hidden="false" customHeight="true" outlineLevel="0" collapsed="false">
      <c r="B3" s="74" t="s">
        <v>1</v>
      </c>
      <c r="C3" s="75" t="str">
        <f aca="false">Cover!B4</f>
        <v>Ralsei Coach House System</v>
      </c>
      <c r="D3" s="75"/>
      <c r="E3" s="74" t="s">
        <v>3</v>
      </c>
      <c r="F3" s="74"/>
      <c r="G3" s="76"/>
      <c r="H3" s="77" t="str">
        <f aca="false">Cover!F4</f>
        <v>Doan Ngoc Duc, Le Thu Ha, Thanh, Trung</v>
      </c>
    </row>
    <row r="4" customFormat="false" ht="12" hidden="false" customHeight="true" outlineLevel="0" collapsed="false">
      <c r="B4" s="74" t="s">
        <v>5</v>
      </c>
      <c r="C4" s="75" t="str">
        <f aca="false">Cover!B5</f>
        <v>RCHS</v>
      </c>
      <c r="D4" s="75"/>
      <c r="E4" s="74" t="s">
        <v>43</v>
      </c>
      <c r="F4" s="74"/>
      <c r="G4" s="76"/>
      <c r="H4" s="78"/>
    </row>
    <row r="5" customFormat="false" ht="12" hidden="false" customHeight="true" outlineLevel="0" collapsed="false">
      <c r="B5" s="79" t="s">
        <v>9</v>
      </c>
      <c r="C5" s="75" t="str">
        <f aca="false">C4&amp;"_"&amp;"Test Report"&amp;"_"&amp;"vx.x"</f>
        <v>RCHS_Test Report_vx.x</v>
      </c>
      <c r="D5" s="75"/>
      <c r="E5" s="74" t="s">
        <v>7</v>
      </c>
      <c r="F5" s="74"/>
      <c r="G5" s="76"/>
      <c r="H5" s="80" t="str">
        <f aca="false">Cover!F5</f>
        <v>&lt;1/6/2026&gt;</v>
      </c>
    </row>
    <row r="6" customFormat="false" ht="21.75" hidden="false" customHeight="true" outlineLevel="0" collapsed="false">
      <c r="A6" s="71"/>
      <c r="B6" s="79" t="s">
        <v>44</v>
      </c>
      <c r="C6" s="81" t="s">
        <v>45</v>
      </c>
      <c r="D6" s="81"/>
      <c r="E6" s="81"/>
      <c r="F6" s="81"/>
      <c r="G6" s="81"/>
      <c r="H6" s="81"/>
    </row>
    <row r="7" customFormat="false" ht="14.25" hidden="false" customHeight="true" outlineLevel="0" collapsed="false">
      <c r="A7" s="71"/>
      <c r="B7" s="82"/>
      <c r="C7" s="83"/>
      <c r="D7" s="72"/>
      <c r="E7" s="72"/>
      <c r="F7" s="72"/>
      <c r="G7" s="72"/>
      <c r="H7" s="73"/>
    </row>
    <row r="8" customFormat="false" ht="12.75" hidden="false" customHeight="false" outlineLevel="0" collapsed="false">
      <c r="B8" s="82"/>
      <c r="C8" s="83"/>
      <c r="D8" s="72"/>
      <c r="E8" s="72"/>
      <c r="F8" s="72"/>
      <c r="G8" s="72"/>
      <c r="H8" s="73"/>
    </row>
    <row r="10" customFormat="false" ht="14.9" hidden="false" customHeight="false" outlineLevel="0" collapsed="false">
      <c r="A10" s="84"/>
      <c r="B10" s="85" t="s">
        <v>26</v>
      </c>
      <c r="C10" s="86" t="s">
        <v>46</v>
      </c>
      <c r="D10" s="87" t="s">
        <v>47</v>
      </c>
      <c r="E10" s="86" t="s">
        <v>48</v>
      </c>
      <c r="F10" s="86" t="s">
        <v>49</v>
      </c>
      <c r="G10" s="88" t="s">
        <v>50</v>
      </c>
      <c r="H10" s="89" t="s">
        <v>51</v>
      </c>
    </row>
    <row r="11" customFormat="false" ht="12.75" hidden="false" customHeight="false" outlineLevel="0" collapsed="false">
      <c r="A11" s="84"/>
      <c r="B11" s="90" t="n">
        <v>1</v>
      </c>
      <c r="C11" s="91" t="str">
        <f aca="false">'Coach Management'!B2</f>
        <v>Coach Management</v>
      </c>
      <c r="D11" s="92" t="n">
        <f aca="false">'Coach Management'!B6</f>
        <v>0</v>
      </c>
      <c r="E11" s="92" t="n">
        <f aca="false">'Coach Management'!C6</f>
        <v>0</v>
      </c>
      <c r="F11" s="92" t="n">
        <f aca="false">'Coach Management'!D6</f>
        <v>49</v>
      </c>
      <c r="G11" s="92" t="n">
        <f aca="false">'Coach Management'!E6</f>
        <v>0</v>
      </c>
      <c r="H11" s="93" t="n">
        <f aca="false">'Coach Management'!B4</f>
        <v>53</v>
      </c>
    </row>
    <row r="12" customFormat="false" ht="12.75" hidden="false" customHeight="false" outlineLevel="0" collapsed="false">
      <c r="A12" s="84"/>
      <c r="B12" s="90" t="n">
        <v>2</v>
      </c>
      <c r="C12" s="91" t="str">
        <f aca="false">'Coach Type Management'!B2</f>
        <v>Coach Type Management</v>
      </c>
      <c r="D12" s="92" t="n">
        <f aca="false">'Coach Type Management'!B6</f>
        <v>0</v>
      </c>
      <c r="E12" s="92" t="n">
        <f aca="false">'Coach Type Management'!C6</f>
        <v>0</v>
      </c>
      <c r="F12" s="92" t="n">
        <f aca="false">'Coach Type Management'!D6</f>
        <v>42</v>
      </c>
      <c r="G12" s="92" t="n">
        <f aca="false">'Coach Type Management'!E6</f>
        <v>0</v>
      </c>
      <c r="H12" s="93" t="n">
        <f aca="false">'Coach Type Management'!B4</f>
        <v>46</v>
      </c>
    </row>
    <row r="13" customFormat="false" ht="12.75" hidden="false" customHeight="false" outlineLevel="0" collapsed="false">
      <c r="A13" s="84"/>
      <c r="B13" s="90" t="n">
        <v>3</v>
      </c>
      <c r="C13" s="91" t="s">
        <v>52</v>
      </c>
      <c r="D13" s="92"/>
      <c r="E13" s="92"/>
      <c r="F13" s="92"/>
      <c r="G13" s="94"/>
      <c r="H13" s="93" t="n">
        <v>8</v>
      </c>
    </row>
    <row r="14" customFormat="false" ht="12.75" hidden="false" customHeight="false" outlineLevel="0" collapsed="false">
      <c r="A14" s="84"/>
      <c r="B14" s="95"/>
      <c r="C14" s="96" t="s">
        <v>53</v>
      </c>
      <c r="D14" s="97" t="n">
        <f aca="false">SUM(D9:D13)</f>
        <v>0</v>
      </c>
      <c r="E14" s="97" t="n">
        <f aca="false">SUM(E9:E13)</f>
        <v>0</v>
      </c>
      <c r="F14" s="97" t="n">
        <f aca="false">SUM(F9:F13)</f>
        <v>91</v>
      </c>
      <c r="G14" s="97" t="n">
        <f aca="false">SUM(G9:G13)</f>
        <v>0</v>
      </c>
      <c r="H14" s="98" t="n">
        <f aca="false">SUM(H9:H13)</f>
        <v>107</v>
      </c>
    </row>
    <row r="15" customFormat="false" ht="12.75" hidden="false" customHeight="false" outlineLevel="0" collapsed="false">
      <c r="B15" s="99"/>
      <c r="D15" s="100"/>
      <c r="E15" s="101"/>
      <c r="F15" s="101"/>
      <c r="G15" s="101"/>
      <c r="H15" s="101"/>
    </row>
    <row r="16" customFormat="false" ht="14.9" hidden="false" customHeight="false" outlineLevel="0" collapsed="false">
      <c r="C16" s="102" t="s">
        <v>54</v>
      </c>
      <c r="E16" s="103" t="n">
        <f aca="false">(D14+E14)*100/(H14-G14)</f>
        <v>0</v>
      </c>
      <c r="F16" s="36" t="s">
        <v>55</v>
      </c>
      <c r="H16" s="104"/>
    </row>
    <row r="17" customFormat="false" ht="14.9" hidden="false" customHeight="false" outlineLevel="0" collapsed="false">
      <c r="C17" s="102" t="s">
        <v>56</v>
      </c>
      <c r="E17" s="103" t="n">
        <f aca="false">D14*100/(H14-G14)</f>
        <v>0</v>
      </c>
      <c r="F17" s="36" t="s">
        <v>55</v>
      </c>
      <c r="H17" s="104"/>
    </row>
  </sheetData>
  <mergeCells count="8">
    <mergeCell ref="B1:H1"/>
    <mergeCell ref="C3:D3"/>
    <mergeCell ref="E3:F3"/>
    <mergeCell ref="C4:D4"/>
    <mergeCell ref="E4:F4"/>
    <mergeCell ref="C5:D5"/>
    <mergeCell ref="E5:F5"/>
    <mergeCell ref="C6:H6"/>
  </mergeCells>
  <printOptions headings="false" gridLines="false" gridLinesSet="true" horizontalCentered="false" verticalCentered="false"/>
  <pageMargins left="0.747916666666667" right="0.747916666666667" top="0.984027777777778" bottom="0.984027777777778"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2:R6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0" topLeftCell="A63" activePane="bottomLeft" state="frozen"/>
      <selection pane="topLeft" activeCell="A1" activeCellId="0" sqref="A1"/>
      <selection pane="bottomLeft" activeCell="D68" activeCellId="0" sqref="D68"/>
    </sheetView>
  </sheetViews>
  <sheetFormatPr defaultColWidth="9.00390625" defaultRowHeight="12.75" customHeight="false" zeroHeight="false" outlineLevelRow="1" outlineLevelCol="1"/>
  <cols>
    <col collapsed="false" customWidth="true" hidden="false" outlineLevel="0" max="1" min="1" style="36" width="17"/>
    <col collapsed="false" customWidth="true" hidden="false" outlineLevel="0" max="2" min="2" style="36" width="34.44"/>
    <col collapsed="false" customWidth="true" hidden="false" outlineLevel="0" max="3" min="3" style="36" width="34.11"/>
    <col collapsed="false" customWidth="true" hidden="false" outlineLevel="0" max="4" min="4" style="36" width="34.67"/>
    <col collapsed="false" customWidth="true" hidden="false" outlineLevel="0" max="5" min="5" style="36" width="32"/>
    <col collapsed="false" customWidth="true" hidden="false" outlineLevel="0" max="6" min="6" style="36" width="9.33"/>
    <col collapsed="false" customWidth="true" hidden="false" outlineLevel="1" max="7" min="7" style="36" width="10.67"/>
    <col collapsed="false" customWidth="true" hidden="false" outlineLevel="1" max="8" min="8" style="36" width="7"/>
    <col collapsed="false" customWidth="true" hidden="false" outlineLevel="0" max="9" min="9" style="36" width="9.33"/>
    <col collapsed="false" customWidth="true" hidden="false" outlineLevel="1" max="10" min="10" style="36" width="10.67"/>
    <col collapsed="false" customWidth="true" hidden="false" outlineLevel="1" max="11" min="11" style="36" width="7"/>
    <col collapsed="false" customWidth="true" hidden="false" outlineLevel="0" max="12" min="12" style="36" width="9.33"/>
    <col collapsed="false" customWidth="true" hidden="false" outlineLevel="1" max="13" min="13" style="36" width="10.67"/>
    <col collapsed="false" customWidth="true" hidden="false" outlineLevel="1" max="14" min="14" style="36" width="7"/>
    <col collapsed="false" customWidth="true" hidden="false" outlineLevel="0" max="15" min="15" style="36" width="28.67"/>
    <col collapsed="false" customWidth="true" hidden="false" outlineLevel="0" max="16" min="16" style="36" width="10.11"/>
    <col collapsed="false" customWidth="true" hidden="false" outlineLevel="0" max="17" min="17" style="105" width="8.11"/>
    <col collapsed="false" customWidth="true" hidden="true" outlineLevel="0" max="18" min="18" style="36" width="7.67"/>
    <col collapsed="false" customWidth="false" hidden="false" outlineLevel="0" max="16384" min="19" style="36" width="9"/>
  </cols>
  <sheetData>
    <row r="2" s="111" customFormat="true" ht="15" hidden="false" customHeight="true" outlineLevel="0" collapsed="false">
      <c r="A2" s="106" t="s">
        <v>57</v>
      </c>
      <c r="B2" s="107" t="s">
        <v>31</v>
      </c>
      <c r="C2" s="107"/>
      <c r="D2" s="107"/>
      <c r="E2" s="107"/>
      <c r="F2" s="108"/>
      <c r="G2" s="109"/>
      <c r="H2" s="45"/>
      <c r="I2" s="108"/>
      <c r="J2" s="109"/>
      <c r="K2" s="45"/>
      <c r="L2" s="108"/>
      <c r="M2" s="109"/>
      <c r="N2" s="45"/>
      <c r="O2" s="45"/>
      <c r="P2" s="45"/>
      <c r="Q2" s="110"/>
      <c r="R2" s="111" t="s">
        <v>47</v>
      </c>
    </row>
    <row r="3" s="111" customFormat="true" ht="14.9" hidden="false" customHeight="true" outlineLevel="0" collapsed="false">
      <c r="A3" s="112" t="s">
        <v>58</v>
      </c>
      <c r="B3" s="113" t="s">
        <v>59</v>
      </c>
      <c r="C3" s="113"/>
      <c r="D3" s="113"/>
      <c r="E3" s="113"/>
      <c r="F3" s="108"/>
      <c r="G3" s="109"/>
      <c r="H3" s="45"/>
      <c r="I3" s="108"/>
      <c r="J3" s="109"/>
      <c r="K3" s="45"/>
      <c r="L3" s="108"/>
      <c r="M3" s="109"/>
      <c r="N3" s="45"/>
      <c r="O3" s="45"/>
      <c r="P3" s="45"/>
      <c r="Q3" s="110"/>
      <c r="R3" s="111" t="s">
        <v>48</v>
      </c>
    </row>
    <row r="4" s="111" customFormat="true" ht="18" hidden="false" customHeight="true" outlineLevel="0" collapsed="false">
      <c r="A4" s="112" t="s">
        <v>60</v>
      </c>
      <c r="B4" s="113" t="n">
        <f aca="false">COUNTA(A12:A1024)</f>
        <v>53</v>
      </c>
      <c r="C4" s="113"/>
      <c r="D4" s="113"/>
      <c r="E4" s="113"/>
      <c r="F4" s="108"/>
      <c r="G4" s="109"/>
      <c r="H4" s="45"/>
      <c r="I4" s="108"/>
      <c r="J4" s="109"/>
      <c r="K4" s="45"/>
      <c r="L4" s="108"/>
      <c r="M4" s="109"/>
      <c r="N4" s="45"/>
      <c r="O4" s="45"/>
      <c r="P4" s="45"/>
      <c r="Q4" s="110"/>
      <c r="R4" s="111" t="s">
        <v>49</v>
      </c>
    </row>
    <row r="5" s="111" customFormat="true" ht="19.5" hidden="false" customHeight="true" outlineLevel="0" collapsed="false">
      <c r="A5" s="114" t="s">
        <v>61</v>
      </c>
      <c r="B5" s="115" t="s">
        <v>47</v>
      </c>
      <c r="C5" s="115" t="s">
        <v>48</v>
      </c>
      <c r="D5" s="115" t="s">
        <v>49</v>
      </c>
      <c r="E5" s="116" t="s">
        <v>50</v>
      </c>
      <c r="F5" s="117"/>
      <c r="G5" s="117"/>
      <c r="H5" s="118"/>
      <c r="I5" s="117"/>
      <c r="J5" s="117"/>
      <c r="K5" s="118"/>
      <c r="L5" s="117"/>
      <c r="M5" s="117"/>
      <c r="N5" s="118"/>
      <c r="O5" s="118"/>
      <c r="P5" s="118"/>
      <c r="Q5" s="119"/>
      <c r="R5" s="111" t="s">
        <v>50</v>
      </c>
    </row>
    <row r="6" s="111" customFormat="true" ht="15" hidden="false" customHeight="true" outlineLevel="0" collapsed="false">
      <c r="A6" s="114" t="s">
        <v>62</v>
      </c>
      <c r="B6" s="120" t="n">
        <f aca="false">COUNTIF($F10:$F1022,B5)</f>
        <v>0</v>
      </c>
      <c r="C6" s="120" t="n">
        <f aca="false">COUNTIF($F10:$F1022,C5)</f>
        <v>0</v>
      </c>
      <c r="D6" s="120" t="n">
        <f aca="false">COUNTIF($F10:$F1022,D5)</f>
        <v>49</v>
      </c>
      <c r="E6" s="121" t="n">
        <f aca="false">COUNTIF($F10:$F1022,E5)</f>
        <v>0</v>
      </c>
      <c r="F6" s="122"/>
      <c r="G6" s="122"/>
      <c r="H6" s="118"/>
      <c r="I6" s="122"/>
      <c r="J6" s="122"/>
      <c r="K6" s="118"/>
      <c r="L6" s="122"/>
      <c r="M6" s="122"/>
      <c r="N6" s="118"/>
      <c r="O6" s="118"/>
      <c r="P6" s="118"/>
      <c r="Q6" s="119"/>
    </row>
    <row r="7" s="111" customFormat="true" ht="15" hidden="false" customHeight="true" outlineLevel="0" collapsed="false">
      <c r="A7" s="114" t="s">
        <v>63</v>
      </c>
      <c r="B7" s="120" t="n">
        <f aca="false">COUNTIF($F10:$F1022,B5)</f>
        <v>0</v>
      </c>
      <c r="C7" s="120" t="n">
        <f aca="false">COUNTIF($F10:$F1022,C5)</f>
        <v>0</v>
      </c>
      <c r="D7" s="120" t="n">
        <f aca="false">COUNTIF($F10:$F1022,D5)</f>
        <v>49</v>
      </c>
      <c r="E7" s="121" t="n">
        <f aca="false">COUNTIF($F10:$F1022,E5)</f>
        <v>0</v>
      </c>
      <c r="F7" s="122"/>
      <c r="G7" s="122"/>
      <c r="H7" s="118"/>
      <c r="I7" s="122"/>
      <c r="J7" s="122"/>
      <c r="K7" s="118"/>
      <c r="L7" s="122"/>
      <c r="M7" s="122"/>
      <c r="N7" s="118"/>
      <c r="O7" s="118"/>
      <c r="P7" s="118"/>
      <c r="Q7" s="119"/>
    </row>
    <row r="8" s="111" customFormat="true" ht="15" hidden="false" customHeight="true" outlineLevel="0" collapsed="false">
      <c r="A8" s="123" t="s">
        <v>64</v>
      </c>
      <c r="B8" s="124" t="n">
        <f aca="false">COUNTIF($F10:$F1022,B5)</f>
        <v>0</v>
      </c>
      <c r="C8" s="124" t="n">
        <f aca="false">COUNTIF($F10:$F1022,C5)</f>
        <v>0</v>
      </c>
      <c r="D8" s="124" t="n">
        <f aca="false">COUNTIF($F10:$F1022,D5)</f>
        <v>49</v>
      </c>
      <c r="E8" s="125" t="n">
        <f aca="false">COUNTIF($F10:$F1022,E5)</f>
        <v>0</v>
      </c>
      <c r="F8" s="122"/>
      <c r="G8" s="122"/>
      <c r="H8" s="118"/>
      <c r="I8" s="122"/>
      <c r="J8" s="122"/>
      <c r="K8" s="118"/>
      <c r="L8" s="122"/>
      <c r="M8" s="122"/>
      <c r="N8" s="118"/>
      <c r="O8" s="118"/>
      <c r="P8" s="118"/>
      <c r="Q8" s="119"/>
    </row>
    <row r="9" s="111" customFormat="true" ht="15" hidden="false" customHeight="true" outlineLevel="0" collapsed="false">
      <c r="A9" s="118"/>
      <c r="B9" s="118"/>
      <c r="C9" s="118"/>
      <c r="D9" s="118"/>
      <c r="E9" s="118"/>
      <c r="F9" s="104"/>
      <c r="G9" s="118"/>
      <c r="H9" s="118"/>
      <c r="I9" s="104"/>
      <c r="J9" s="118"/>
      <c r="K9" s="118"/>
      <c r="L9" s="104"/>
      <c r="M9" s="118"/>
      <c r="N9" s="118"/>
      <c r="O9" s="118"/>
      <c r="P9" s="118"/>
      <c r="Q9" s="119"/>
    </row>
    <row r="10" s="111" customFormat="true" ht="25.5" hidden="false" customHeight="true" outlineLevel="0" collapsed="false">
      <c r="A10" s="126" t="s">
        <v>65</v>
      </c>
      <c r="B10" s="126" t="s">
        <v>66</v>
      </c>
      <c r="C10" s="126" t="s">
        <v>67</v>
      </c>
      <c r="D10" s="126" t="s">
        <v>68</v>
      </c>
      <c r="E10" s="126" t="s">
        <v>69</v>
      </c>
      <c r="F10" s="126" t="s">
        <v>62</v>
      </c>
      <c r="G10" s="126" t="s">
        <v>70</v>
      </c>
      <c r="H10" s="126" t="s">
        <v>71</v>
      </c>
      <c r="I10" s="126" t="s">
        <v>63</v>
      </c>
      <c r="J10" s="126" t="s">
        <v>70</v>
      </c>
      <c r="K10" s="126" t="s">
        <v>71</v>
      </c>
      <c r="L10" s="126" t="s">
        <v>64</v>
      </c>
      <c r="M10" s="126" t="s">
        <v>70</v>
      </c>
      <c r="N10" s="126" t="s">
        <v>71</v>
      </c>
      <c r="O10" s="126" t="s">
        <v>72</v>
      </c>
      <c r="Q10" s="127"/>
    </row>
    <row r="11" s="111" customFormat="true" ht="15.75" hidden="false" customHeight="true" outlineLevel="0" collapsed="false">
      <c r="A11" s="128" t="s">
        <v>73</v>
      </c>
      <c r="B11" s="128"/>
      <c r="C11" s="129"/>
      <c r="D11" s="129"/>
      <c r="E11" s="129"/>
      <c r="F11" s="130"/>
      <c r="G11" s="130"/>
      <c r="H11" s="130"/>
      <c r="I11" s="130"/>
      <c r="J11" s="130"/>
      <c r="K11" s="130"/>
      <c r="L11" s="130"/>
      <c r="M11" s="130"/>
      <c r="N11" s="130"/>
      <c r="O11" s="131"/>
      <c r="Q11" s="132"/>
    </row>
    <row r="12" customFormat="false" ht="46.25" hidden="false" customHeight="false" outlineLevel="1" collapsed="false">
      <c r="A12" s="133" t="s">
        <v>74</v>
      </c>
      <c r="B12" s="134" t="s">
        <v>75</v>
      </c>
      <c r="C12" s="134" t="s">
        <v>76</v>
      </c>
      <c r="D12" s="134" t="s">
        <v>77</v>
      </c>
      <c r="E12" s="134" t="s">
        <v>78</v>
      </c>
      <c r="F12" s="135" t="s">
        <v>49</v>
      </c>
      <c r="G12" s="136"/>
      <c r="H12" s="136"/>
      <c r="I12" s="136" t="s">
        <v>49</v>
      </c>
      <c r="J12" s="136"/>
      <c r="K12" s="136"/>
      <c r="L12" s="136" t="s">
        <v>49</v>
      </c>
      <c r="M12" s="136"/>
      <c r="N12" s="136"/>
      <c r="O12" s="137"/>
      <c r="Q12" s="138"/>
    </row>
    <row r="13" customFormat="false" ht="23.85" hidden="false" customHeight="false" outlineLevel="1" collapsed="false">
      <c r="A13" s="133" t="s">
        <v>79</v>
      </c>
      <c r="B13" s="134" t="s">
        <v>80</v>
      </c>
      <c r="C13" s="134" t="s">
        <v>81</v>
      </c>
      <c r="D13" s="134" t="s">
        <v>82</v>
      </c>
      <c r="E13" s="134" t="s">
        <v>83</v>
      </c>
      <c r="F13" s="135" t="s">
        <v>49</v>
      </c>
      <c r="G13" s="136"/>
      <c r="H13" s="136"/>
      <c r="I13" s="136" t="s">
        <v>49</v>
      </c>
      <c r="J13" s="136"/>
      <c r="K13" s="136"/>
      <c r="L13" s="136" t="s">
        <v>49</v>
      </c>
      <c r="M13" s="136"/>
      <c r="N13" s="136"/>
      <c r="O13" s="137"/>
      <c r="Q13" s="138"/>
    </row>
    <row r="14" customFormat="false" ht="23.85" hidden="false" customHeight="false" outlineLevel="1" collapsed="false">
      <c r="A14" s="133" t="s">
        <v>84</v>
      </c>
      <c r="B14" s="134" t="s">
        <v>85</v>
      </c>
      <c r="C14" s="134" t="s">
        <v>86</v>
      </c>
      <c r="D14" s="134" t="s">
        <v>87</v>
      </c>
      <c r="E14" s="134" t="s">
        <v>83</v>
      </c>
      <c r="F14" s="135" t="s">
        <v>49</v>
      </c>
      <c r="G14" s="136"/>
      <c r="H14" s="136"/>
      <c r="I14" s="136" t="s">
        <v>49</v>
      </c>
      <c r="J14" s="136"/>
      <c r="K14" s="136"/>
      <c r="L14" s="136" t="s">
        <v>49</v>
      </c>
      <c r="M14" s="136"/>
      <c r="N14" s="136"/>
      <c r="O14" s="137"/>
      <c r="Q14" s="138"/>
    </row>
    <row r="15" customFormat="false" ht="23.85" hidden="false" customHeight="false" outlineLevel="1" collapsed="false">
      <c r="A15" s="133" t="s">
        <v>88</v>
      </c>
      <c r="B15" s="134" t="s">
        <v>89</v>
      </c>
      <c r="C15" s="134" t="s">
        <v>90</v>
      </c>
      <c r="D15" s="134" t="s">
        <v>91</v>
      </c>
      <c r="E15" s="134" t="s">
        <v>83</v>
      </c>
      <c r="F15" s="135" t="s">
        <v>49</v>
      </c>
      <c r="G15" s="136"/>
      <c r="H15" s="136"/>
      <c r="I15" s="136" t="s">
        <v>49</v>
      </c>
      <c r="J15" s="136"/>
      <c r="K15" s="136"/>
      <c r="L15" s="136" t="s">
        <v>49</v>
      </c>
      <c r="M15" s="136"/>
      <c r="N15" s="136"/>
      <c r="O15" s="137"/>
      <c r="Q15" s="138"/>
    </row>
    <row r="16" customFormat="false" ht="35.05" hidden="false" customHeight="false" outlineLevel="1" collapsed="false">
      <c r="A16" s="133" t="s">
        <v>92</v>
      </c>
      <c r="B16" s="134" t="s">
        <v>93</v>
      </c>
      <c r="C16" s="134" t="s">
        <v>94</v>
      </c>
      <c r="D16" s="134" t="s">
        <v>95</v>
      </c>
      <c r="E16" s="134" t="s">
        <v>83</v>
      </c>
      <c r="F16" s="135" t="s">
        <v>49</v>
      </c>
      <c r="G16" s="136"/>
      <c r="H16" s="136"/>
      <c r="I16" s="136" t="s">
        <v>49</v>
      </c>
      <c r="J16" s="136"/>
      <c r="K16" s="136"/>
      <c r="L16" s="136" t="s">
        <v>49</v>
      </c>
      <c r="M16" s="136"/>
      <c r="N16" s="136"/>
      <c r="O16" s="137"/>
      <c r="Q16" s="138"/>
    </row>
    <row r="17" customFormat="false" ht="23.85" hidden="false" customHeight="false" outlineLevel="1" collapsed="false">
      <c r="A17" s="133" t="s">
        <v>96</v>
      </c>
      <c r="B17" s="134" t="s">
        <v>97</v>
      </c>
      <c r="C17" s="134" t="s">
        <v>98</v>
      </c>
      <c r="D17" s="134" t="s">
        <v>99</v>
      </c>
      <c r="E17" s="134" t="s">
        <v>100</v>
      </c>
      <c r="F17" s="135" t="s">
        <v>49</v>
      </c>
      <c r="G17" s="136"/>
      <c r="H17" s="136"/>
      <c r="I17" s="136" t="s">
        <v>49</v>
      </c>
      <c r="J17" s="136"/>
      <c r="K17" s="136"/>
      <c r="L17" s="136" t="s">
        <v>49</v>
      </c>
      <c r="M17" s="136"/>
      <c r="N17" s="136"/>
      <c r="O17" s="137"/>
      <c r="Q17" s="138"/>
    </row>
    <row r="18" customFormat="false" ht="23.85" hidden="false" customHeight="false" outlineLevel="1" collapsed="false">
      <c r="A18" s="133" t="s">
        <v>101</v>
      </c>
      <c r="B18" s="134" t="s">
        <v>102</v>
      </c>
      <c r="C18" s="134" t="s">
        <v>103</v>
      </c>
      <c r="D18" s="134" t="s">
        <v>104</v>
      </c>
      <c r="E18" s="134" t="s">
        <v>83</v>
      </c>
      <c r="F18" s="135" t="s">
        <v>49</v>
      </c>
      <c r="G18" s="136"/>
      <c r="H18" s="136"/>
      <c r="I18" s="136" t="s">
        <v>49</v>
      </c>
      <c r="J18" s="136"/>
      <c r="K18" s="136"/>
      <c r="L18" s="136" t="s">
        <v>49</v>
      </c>
      <c r="M18" s="136"/>
      <c r="N18" s="136"/>
      <c r="O18" s="137"/>
      <c r="Q18" s="138"/>
    </row>
    <row r="19" customFormat="false" ht="23.85" hidden="false" customHeight="false" outlineLevel="1" collapsed="false">
      <c r="A19" s="133" t="s">
        <v>105</v>
      </c>
      <c r="B19" s="134" t="s">
        <v>106</v>
      </c>
      <c r="C19" s="134" t="s">
        <v>107</v>
      </c>
      <c r="D19" s="134" t="s">
        <v>108</v>
      </c>
      <c r="E19" s="134" t="s">
        <v>83</v>
      </c>
      <c r="F19" s="135" t="s">
        <v>49</v>
      </c>
      <c r="G19" s="136"/>
      <c r="H19" s="136"/>
      <c r="I19" s="136" t="s">
        <v>49</v>
      </c>
      <c r="J19" s="136"/>
      <c r="K19" s="136"/>
      <c r="L19" s="136" t="s">
        <v>49</v>
      </c>
      <c r="M19" s="136"/>
      <c r="N19" s="136"/>
      <c r="O19" s="137"/>
      <c r="Q19" s="138"/>
    </row>
    <row r="20" customFormat="false" ht="23.85" hidden="false" customHeight="false" outlineLevel="1" collapsed="false">
      <c r="A20" s="133" t="s">
        <v>109</v>
      </c>
      <c r="B20" s="134" t="s">
        <v>110</v>
      </c>
      <c r="C20" s="134" t="s">
        <v>111</v>
      </c>
      <c r="D20" s="134" t="s">
        <v>112</v>
      </c>
      <c r="E20" s="134" t="s">
        <v>83</v>
      </c>
      <c r="F20" s="135" t="s">
        <v>49</v>
      </c>
      <c r="G20" s="136"/>
      <c r="H20" s="136"/>
      <c r="I20" s="136" t="s">
        <v>49</v>
      </c>
      <c r="J20" s="136"/>
      <c r="K20" s="136"/>
      <c r="L20" s="136" t="s">
        <v>49</v>
      </c>
      <c r="M20" s="136"/>
      <c r="N20" s="136"/>
      <c r="O20" s="137"/>
      <c r="Q20" s="138"/>
    </row>
    <row r="21" customFormat="false" ht="23.85" hidden="false" customHeight="false" outlineLevel="1" collapsed="false">
      <c r="A21" s="133" t="s">
        <v>113</v>
      </c>
      <c r="B21" s="134" t="s">
        <v>114</v>
      </c>
      <c r="C21" s="134" t="s">
        <v>115</v>
      </c>
      <c r="D21" s="134" t="s">
        <v>112</v>
      </c>
      <c r="E21" s="134" t="s">
        <v>83</v>
      </c>
      <c r="F21" s="135" t="s">
        <v>49</v>
      </c>
      <c r="G21" s="136"/>
      <c r="H21" s="136"/>
      <c r="I21" s="136" t="s">
        <v>49</v>
      </c>
      <c r="J21" s="136"/>
      <c r="K21" s="136"/>
      <c r="L21" s="136" t="s">
        <v>49</v>
      </c>
      <c r="M21" s="136"/>
      <c r="N21" s="136"/>
      <c r="O21" s="137"/>
      <c r="Q21" s="138"/>
    </row>
    <row r="22" customFormat="false" ht="23.85" hidden="false" customHeight="false" outlineLevel="1" collapsed="false">
      <c r="A22" s="133" t="s">
        <v>116</v>
      </c>
      <c r="B22" s="134" t="s">
        <v>117</v>
      </c>
      <c r="C22" s="134" t="s">
        <v>118</v>
      </c>
      <c r="D22" s="134" t="s">
        <v>119</v>
      </c>
      <c r="E22" s="134" t="s">
        <v>83</v>
      </c>
      <c r="F22" s="135" t="s">
        <v>49</v>
      </c>
      <c r="G22" s="136"/>
      <c r="H22" s="136"/>
      <c r="I22" s="136" t="s">
        <v>49</v>
      </c>
      <c r="J22" s="136"/>
      <c r="K22" s="136"/>
      <c r="L22" s="136" t="s">
        <v>49</v>
      </c>
      <c r="M22" s="136"/>
      <c r="N22" s="136"/>
      <c r="O22" s="137"/>
      <c r="Q22" s="138"/>
    </row>
    <row r="23" customFormat="false" ht="23.85" hidden="false" customHeight="false" outlineLevel="1" collapsed="false">
      <c r="A23" s="133" t="s">
        <v>120</v>
      </c>
      <c r="B23" s="134" t="s">
        <v>121</v>
      </c>
      <c r="C23" s="134" t="s">
        <v>122</v>
      </c>
      <c r="D23" s="134" t="s">
        <v>123</v>
      </c>
      <c r="E23" s="134" t="s">
        <v>83</v>
      </c>
      <c r="F23" s="135" t="s">
        <v>49</v>
      </c>
      <c r="G23" s="136"/>
      <c r="H23" s="136"/>
      <c r="I23" s="136" t="s">
        <v>49</v>
      </c>
      <c r="J23" s="136"/>
      <c r="K23" s="136"/>
      <c r="L23" s="136" t="s">
        <v>49</v>
      </c>
      <c r="M23" s="136"/>
      <c r="N23" s="136"/>
      <c r="O23" s="137"/>
      <c r="Q23" s="138"/>
    </row>
    <row r="24" customFormat="false" ht="23.85" hidden="false" customHeight="false" outlineLevel="1" collapsed="false">
      <c r="A24" s="133" t="s">
        <v>124</v>
      </c>
      <c r="B24" s="134" t="s">
        <v>125</v>
      </c>
      <c r="C24" s="134" t="s">
        <v>126</v>
      </c>
      <c r="D24" s="134" t="s">
        <v>127</v>
      </c>
      <c r="E24" s="134" t="s">
        <v>83</v>
      </c>
      <c r="F24" s="135" t="s">
        <v>49</v>
      </c>
      <c r="G24" s="136"/>
      <c r="H24" s="136"/>
      <c r="I24" s="136" t="s">
        <v>49</v>
      </c>
      <c r="J24" s="136"/>
      <c r="K24" s="136"/>
      <c r="L24" s="136" t="s">
        <v>49</v>
      </c>
      <c r="M24" s="136"/>
      <c r="N24" s="136"/>
      <c r="O24" s="137"/>
      <c r="Q24" s="138"/>
    </row>
    <row r="25" customFormat="false" ht="35.05" hidden="false" customHeight="false" outlineLevel="1" collapsed="false">
      <c r="A25" s="133" t="s">
        <v>128</v>
      </c>
      <c r="B25" s="134" t="s">
        <v>129</v>
      </c>
      <c r="C25" s="134" t="s">
        <v>130</v>
      </c>
      <c r="D25" s="134" t="s">
        <v>131</v>
      </c>
      <c r="E25" s="134" t="s">
        <v>83</v>
      </c>
      <c r="F25" s="135" t="s">
        <v>49</v>
      </c>
      <c r="G25" s="136"/>
      <c r="H25" s="136"/>
      <c r="I25" s="136" t="s">
        <v>49</v>
      </c>
      <c r="J25" s="136"/>
      <c r="K25" s="136"/>
      <c r="L25" s="136" t="s">
        <v>49</v>
      </c>
      <c r="M25" s="136"/>
      <c r="N25" s="136"/>
      <c r="O25" s="137"/>
      <c r="Q25" s="138"/>
    </row>
    <row r="26" customFormat="false" ht="35.05" hidden="false" customHeight="false" outlineLevel="1" collapsed="false">
      <c r="A26" s="133" t="s">
        <v>132</v>
      </c>
      <c r="B26" s="134" t="s">
        <v>133</v>
      </c>
      <c r="C26" s="134" t="s">
        <v>134</v>
      </c>
      <c r="D26" s="134" t="s">
        <v>135</v>
      </c>
      <c r="E26" s="134" t="s">
        <v>136</v>
      </c>
      <c r="F26" s="135" t="s">
        <v>49</v>
      </c>
      <c r="G26" s="136"/>
      <c r="H26" s="136"/>
      <c r="I26" s="136" t="s">
        <v>49</v>
      </c>
      <c r="J26" s="136"/>
      <c r="K26" s="136"/>
      <c r="L26" s="136" t="s">
        <v>49</v>
      </c>
      <c r="M26" s="136"/>
      <c r="N26" s="136"/>
      <c r="O26" s="137"/>
      <c r="Q26" s="138"/>
    </row>
    <row r="27" s="111" customFormat="true" ht="15.75" hidden="false" customHeight="true" outlineLevel="0" collapsed="false">
      <c r="A27" s="128" t="s">
        <v>137</v>
      </c>
      <c r="B27" s="128"/>
      <c r="C27" s="129"/>
      <c r="D27" s="129"/>
      <c r="E27" s="129"/>
      <c r="F27" s="129"/>
      <c r="G27" s="129"/>
      <c r="H27" s="129"/>
      <c r="I27" s="129"/>
      <c r="J27" s="129"/>
      <c r="K27" s="129"/>
      <c r="L27" s="129"/>
      <c r="M27" s="129"/>
      <c r="N27" s="129"/>
      <c r="O27" s="129"/>
      <c r="Q27" s="132"/>
    </row>
    <row r="28" customFormat="false" ht="23.85" hidden="false" customHeight="false" outlineLevel="1" collapsed="false">
      <c r="A28" s="133" t="s">
        <v>138</v>
      </c>
      <c r="B28" s="134" t="s">
        <v>139</v>
      </c>
      <c r="C28" s="134" t="s">
        <v>140</v>
      </c>
      <c r="D28" s="134" t="s">
        <v>141</v>
      </c>
      <c r="E28" s="134" t="s">
        <v>142</v>
      </c>
      <c r="F28" s="135" t="s">
        <v>49</v>
      </c>
      <c r="G28" s="136"/>
      <c r="H28" s="136"/>
      <c r="I28" s="136" t="s">
        <v>49</v>
      </c>
      <c r="J28" s="136"/>
      <c r="K28" s="136"/>
      <c r="L28" s="136" t="s">
        <v>49</v>
      </c>
      <c r="M28" s="136"/>
      <c r="N28" s="136"/>
      <c r="O28" s="137"/>
      <c r="Q28" s="138"/>
    </row>
    <row r="29" customFormat="false" ht="23.85" hidden="false" customHeight="false" outlineLevel="1" collapsed="false">
      <c r="A29" s="133" t="s">
        <v>143</v>
      </c>
      <c r="B29" s="134" t="s">
        <v>144</v>
      </c>
      <c r="C29" s="134" t="s">
        <v>145</v>
      </c>
      <c r="D29" s="134" t="s">
        <v>146</v>
      </c>
      <c r="E29" s="134" t="s">
        <v>142</v>
      </c>
      <c r="F29" s="135" t="s">
        <v>49</v>
      </c>
      <c r="G29" s="136"/>
      <c r="H29" s="136"/>
      <c r="I29" s="136" t="s">
        <v>49</v>
      </c>
      <c r="J29" s="136"/>
      <c r="K29" s="136"/>
      <c r="L29" s="136" t="s">
        <v>49</v>
      </c>
      <c r="M29" s="136"/>
      <c r="N29" s="136"/>
      <c r="O29" s="137"/>
      <c r="Q29" s="138"/>
    </row>
    <row r="30" customFormat="false" ht="23.85" hidden="false" customHeight="false" outlineLevel="1" collapsed="false">
      <c r="A30" s="133" t="s">
        <v>147</v>
      </c>
      <c r="B30" s="134" t="s">
        <v>148</v>
      </c>
      <c r="C30" s="134" t="s">
        <v>149</v>
      </c>
      <c r="D30" s="134" t="s">
        <v>150</v>
      </c>
      <c r="E30" s="134" t="s">
        <v>151</v>
      </c>
      <c r="F30" s="135" t="s">
        <v>49</v>
      </c>
      <c r="G30" s="136"/>
      <c r="H30" s="136"/>
      <c r="I30" s="136" t="s">
        <v>49</v>
      </c>
      <c r="J30" s="136"/>
      <c r="K30" s="136"/>
      <c r="L30" s="136" t="s">
        <v>49</v>
      </c>
      <c r="M30" s="136"/>
      <c r="N30" s="136"/>
      <c r="O30" s="137"/>
      <c r="Q30" s="138"/>
    </row>
    <row r="31" customFormat="false" ht="23.85" hidden="false" customHeight="false" outlineLevel="1" collapsed="false">
      <c r="A31" s="133" t="s">
        <v>152</v>
      </c>
      <c r="B31" s="134" t="s">
        <v>153</v>
      </c>
      <c r="C31" s="134" t="s">
        <v>154</v>
      </c>
      <c r="D31" s="134" t="s">
        <v>155</v>
      </c>
      <c r="E31" s="134" t="s">
        <v>156</v>
      </c>
      <c r="F31" s="135" t="s">
        <v>49</v>
      </c>
      <c r="G31" s="136"/>
      <c r="H31" s="136"/>
      <c r="I31" s="136" t="s">
        <v>49</v>
      </c>
      <c r="J31" s="136"/>
      <c r="K31" s="136"/>
      <c r="L31" s="136" t="s">
        <v>49</v>
      </c>
      <c r="M31" s="136"/>
      <c r="N31" s="136"/>
      <c r="O31" s="137"/>
      <c r="Q31" s="138"/>
    </row>
    <row r="32" customFormat="false" ht="23.85" hidden="false" customHeight="false" outlineLevel="1" collapsed="false">
      <c r="A32" s="133" t="s">
        <v>157</v>
      </c>
      <c r="B32" s="134" t="s">
        <v>158</v>
      </c>
      <c r="C32" s="134" t="s">
        <v>159</v>
      </c>
      <c r="D32" s="134" t="s">
        <v>160</v>
      </c>
      <c r="E32" s="134" t="s">
        <v>142</v>
      </c>
      <c r="F32" s="135" t="s">
        <v>49</v>
      </c>
      <c r="G32" s="136"/>
      <c r="H32" s="136"/>
      <c r="I32" s="136" t="s">
        <v>49</v>
      </c>
      <c r="J32" s="136"/>
      <c r="K32" s="136"/>
      <c r="L32" s="136" t="s">
        <v>49</v>
      </c>
      <c r="M32" s="136"/>
      <c r="N32" s="136"/>
      <c r="O32" s="137"/>
      <c r="Q32" s="138"/>
    </row>
    <row r="33" customFormat="false" ht="35.05" hidden="false" customHeight="false" outlineLevel="1" collapsed="false">
      <c r="A33" s="133" t="s">
        <v>161</v>
      </c>
      <c r="B33" s="134" t="s">
        <v>162</v>
      </c>
      <c r="C33" s="134" t="s">
        <v>163</v>
      </c>
      <c r="D33" s="134" t="s">
        <v>164</v>
      </c>
      <c r="E33" s="134" t="s">
        <v>165</v>
      </c>
      <c r="F33" s="135" t="s">
        <v>49</v>
      </c>
      <c r="G33" s="136"/>
      <c r="H33" s="136"/>
      <c r="I33" s="136" t="s">
        <v>49</v>
      </c>
      <c r="J33" s="136"/>
      <c r="K33" s="136"/>
      <c r="L33" s="136" t="s">
        <v>49</v>
      </c>
      <c r="M33" s="136"/>
      <c r="N33" s="136"/>
      <c r="O33" s="137"/>
      <c r="Q33" s="138"/>
    </row>
    <row r="34" customFormat="false" ht="23.85" hidden="false" customHeight="false" outlineLevel="1" collapsed="false">
      <c r="A34" s="133" t="s">
        <v>166</v>
      </c>
      <c r="B34" s="134" t="s">
        <v>167</v>
      </c>
      <c r="C34" s="134" t="s">
        <v>168</v>
      </c>
      <c r="D34" s="134" t="s">
        <v>169</v>
      </c>
      <c r="E34" s="134" t="s">
        <v>170</v>
      </c>
      <c r="F34" s="135" t="s">
        <v>49</v>
      </c>
      <c r="G34" s="136"/>
      <c r="H34" s="136"/>
      <c r="I34" s="136" t="s">
        <v>49</v>
      </c>
      <c r="J34" s="136"/>
      <c r="K34" s="136"/>
      <c r="L34" s="136" t="s">
        <v>49</v>
      </c>
      <c r="M34" s="136"/>
      <c r="N34" s="136"/>
      <c r="O34" s="137"/>
      <c r="Q34" s="138"/>
    </row>
    <row r="35" customFormat="false" ht="23.85" hidden="false" customHeight="false" outlineLevel="1" collapsed="false">
      <c r="A35" s="133" t="s">
        <v>171</v>
      </c>
      <c r="B35" s="134" t="s">
        <v>172</v>
      </c>
      <c r="C35" s="134" t="s">
        <v>173</v>
      </c>
      <c r="D35" s="134" t="s">
        <v>174</v>
      </c>
      <c r="E35" s="134" t="s">
        <v>142</v>
      </c>
      <c r="F35" s="135" t="s">
        <v>49</v>
      </c>
      <c r="G35" s="136"/>
      <c r="H35" s="136"/>
      <c r="I35" s="136" t="s">
        <v>49</v>
      </c>
      <c r="J35" s="136"/>
      <c r="K35" s="136"/>
      <c r="L35" s="136" t="s">
        <v>49</v>
      </c>
      <c r="M35" s="136"/>
      <c r="N35" s="136"/>
      <c r="O35" s="137"/>
      <c r="Q35" s="138"/>
    </row>
    <row r="36" s="111" customFormat="true" ht="15.75" hidden="false" customHeight="true" outlineLevel="0" collapsed="false">
      <c r="A36" s="128" t="s">
        <v>175</v>
      </c>
      <c r="B36" s="128"/>
      <c r="C36" s="129"/>
      <c r="D36" s="129"/>
      <c r="E36" s="129"/>
      <c r="F36" s="129"/>
      <c r="G36" s="129"/>
      <c r="H36" s="129"/>
      <c r="I36" s="129"/>
      <c r="J36" s="129"/>
      <c r="K36" s="129"/>
      <c r="L36" s="129"/>
      <c r="M36" s="129"/>
      <c r="N36" s="129"/>
      <c r="O36" s="129"/>
      <c r="Q36" s="132"/>
    </row>
    <row r="37" customFormat="false" ht="35.05" hidden="false" customHeight="false" outlineLevel="1" collapsed="false">
      <c r="A37" s="133" t="s">
        <v>176</v>
      </c>
      <c r="B37" s="134" t="s">
        <v>177</v>
      </c>
      <c r="C37" s="134" t="s">
        <v>178</v>
      </c>
      <c r="D37" s="134" t="s">
        <v>179</v>
      </c>
      <c r="E37" s="134" t="s">
        <v>180</v>
      </c>
      <c r="F37" s="135" t="s">
        <v>49</v>
      </c>
      <c r="G37" s="136"/>
      <c r="H37" s="136"/>
      <c r="I37" s="136" t="s">
        <v>49</v>
      </c>
      <c r="J37" s="136"/>
      <c r="K37" s="136"/>
      <c r="L37" s="136" t="s">
        <v>49</v>
      </c>
      <c r="M37" s="136"/>
      <c r="N37" s="136"/>
      <c r="O37" s="137"/>
      <c r="Q37" s="138"/>
    </row>
    <row r="38" customFormat="false" ht="23.85" hidden="false" customHeight="false" outlineLevel="1" collapsed="false">
      <c r="A38" s="133" t="s">
        <v>181</v>
      </c>
      <c r="B38" s="134" t="s">
        <v>182</v>
      </c>
      <c r="C38" s="134" t="s">
        <v>183</v>
      </c>
      <c r="D38" s="134" t="s">
        <v>184</v>
      </c>
      <c r="E38" s="134" t="s">
        <v>185</v>
      </c>
      <c r="F38" s="135" t="s">
        <v>49</v>
      </c>
      <c r="G38" s="136"/>
      <c r="H38" s="136"/>
      <c r="I38" s="136" t="s">
        <v>49</v>
      </c>
      <c r="J38" s="136"/>
      <c r="K38" s="136"/>
      <c r="L38" s="136" t="s">
        <v>49</v>
      </c>
      <c r="M38" s="136"/>
      <c r="N38" s="136"/>
      <c r="O38" s="137"/>
      <c r="Q38" s="138"/>
    </row>
    <row r="39" customFormat="false" ht="35.05" hidden="false" customHeight="false" outlineLevel="1" collapsed="false">
      <c r="A39" s="133" t="s">
        <v>186</v>
      </c>
      <c r="B39" s="134" t="s">
        <v>187</v>
      </c>
      <c r="C39" s="134" t="s">
        <v>188</v>
      </c>
      <c r="D39" s="134" t="s">
        <v>189</v>
      </c>
      <c r="E39" s="134" t="s">
        <v>190</v>
      </c>
      <c r="F39" s="135" t="s">
        <v>49</v>
      </c>
      <c r="G39" s="136"/>
      <c r="H39" s="136"/>
      <c r="I39" s="136" t="s">
        <v>49</v>
      </c>
      <c r="J39" s="136"/>
      <c r="K39" s="136"/>
      <c r="L39" s="136" t="s">
        <v>49</v>
      </c>
      <c r="M39" s="136"/>
      <c r="N39" s="136"/>
      <c r="O39" s="137"/>
      <c r="Q39" s="138"/>
    </row>
    <row r="40" customFormat="false" ht="23.85" hidden="false" customHeight="false" outlineLevel="1" collapsed="false">
      <c r="A40" s="133" t="s">
        <v>191</v>
      </c>
      <c r="B40" s="134" t="s">
        <v>192</v>
      </c>
      <c r="C40" s="134" t="s">
        <v>193</v>
      </c>
      <c r="D40" s="134" t="s">
        <v>194</v>
      </c>
      <c r="E40" s="134" t="s">
        <v>190</v>
      </c>
      <c r="F40" s="135" t="s">
        <v>49</v>
      </c>
      <c r="G40" s="136"/>
      <c r="H40" s="136"/>
      <c r="I40" s="136" t="s">
        <v>49</v>
      </c>
      <c r="J40" s="136"/>
      <c r="K40" s="136"/>
      <c r="L40" s="136" t="s">
        <v>49</v>
      </c>
      <c r="M40" s="136"/>
      <c r="N40" s="136"/>
      <c r="O40" s="137"/>
      <c r="Q40" s="138"/>
    </row>
    <row r="41" customFormat="false" ht="23.85" hidden="false" customHeight="false" outlineLevel="1" collapsed="false">
      <c r="A41" s="133" t="s">
        <v>195</v>
      </c>
      <c r="B41" s="134" t="s">
        <v>196</v>
      </c>
      <c r="C41" s="134" t="s">
        <v>197</v>
      </c>
      <c r="D41" s="134" t="s">
        <v>123</v>
      </c>
      <c r="E41" s="134" t="s">
        <v>190</v>
      </c>
      <c r="F41" s="135" t="s">
        <v>49</v>
      </c>
      <c r="G41" s="136"/>
      <c r="H41" s="136"/>
      <c r="I41" s="136" t="s">
        <v>49</v>
      </c>
      <c r="J41" s="136"/>
      <c r="K41" s="136"/>
      <c r="L41" s="136" t="s">
        <v>49</v>
      </c>
      <c r="M41" s="136"/>
      <c r="N41" s="136"/>
      <c r="O41" s="137"/>
      <c r="Q41" s="138"/>
    </row>
    <row r="42" customFormat="false" ht="35.05" hidden="false" customHeight="false" outlineLevel="1" collapsed="false">
      <c r="A42" s="133" t="s">
        <v>198</v>
      </c>
      <c r="B42" s="134" t="s">
        <v>199</v>
      </c>
      <c r="C42" s="134" t="s">
        <v>130</v>
      </c>
      <c r="D42" s="134" t="s">
        <v>131</v>
      </c>
      <c r="E42" s="134" t="s">
        <v>190</v>
      </c>
      <c r="F42" s="135" t="s">
        <v>49</v>
      </c>
      <c r="G42" s="136"/>
      <c r="H42" s="136"/>
      <c r="I42" s="136" t="s">
        <v>49</v>
      </c>
      <c r="J42" s="136"/>
      <c r="K42" s="136"/>
      <c r="L42" s="136" t="s">
        <v>49</v>
      </c>
      <c r="M42" s="136"/>
      <c r="N42" s="136"/>
      <c r="O42" s="137"/>
      <c r="Q42" s="138"/>
    </row>
    <row r="43" customFormat="false" ht="23.85" hidden="false" customHeight="false" outlineLevel="1" collapsed="false">
      <c r="A43" s="133" t="s">
        <v>200</v>
      </c>
      <c r="B43" s="134" t="s">
        <v>201</v>
      </c>
      <c r="C43" s="134" t="s">
        <v>202</v>
      </c>
      <c r="D43" s="134" t="s">
        <v>203</v>
      </c>
      <c r="E43" s="134" t="s">
        <v>190</v>
      </c>
      <c r="F43" s="135" t="s">
        <v>49</v>
      </c>
      <c r="G43" s="136"/>
      <c r="H43" s="136"/>
      <c r="I43" s="136" t="s">
        <v>49</v>
      </c>
      <c r="J43" s="136"/>
      <c r="K43" s="136"/>
      <c r="L43" s="136" t="s">
        <v>49</v>
      </c>
      <c r="M43" s="136"/>
      <c r="N43" s="136"/>
      <c r="O43" s="137"/>
      <c r="Q43" s="138"/>
    </row>
    <row r="44" customFormat="false" ht="23.85" hidden="false" customHeight="false" outlineLevel="0" collapsed="false">
      <c r="A44" s="133" t="s">
        <v>204</v>
      </c>
      <c r="B44" s="134" t="s">
        <v>205</v>
      </c>
      <c r="C44" s="134" t="s">
        <v>206</v>
      </c>
      <c r="D44" s="134" t="s">
        <v>104</v>
      </c>
      <c r="E44" s="134" t="s">
        <v>190</v>
      </c>
      <c r="F44" s="135" t="s">
        <v>49</v>
      </c>
      <c r="G44" s="136"/>
      <c r="H44" s="136"/>
      <c r="I44" s="136" t="s">
        <v>49</v>
      </c>
      <c r="J44" s="136"/>
      <c r="K44" s="136"/>
      <c r="L44" s="136" t="s">
        <v>49</v>
      </c>
      <c r="M44" s="136"/>
      <c r="N44" s="136"/>
      <c r="O44" s="137"/>
    </row>
    <row r="45" customFormat="false" ht="23.85" hidden="false" customHeight="false" outlineLevel="0" collapsed="false">
      <c r="A45" s="133" t="s">
        <v>207</v>
      </c>
      <c r="B45" s="134" t="s">
        <v>208</v>
      </c>
      <c r="C45" s="134" t="s">
        <v>209</v>
      </c>
      <c r="D45" s="134" t="s">
        <v>108</v>
      </c>
      <c r="E45" s="134" t="s">
        <v>190</v>
      </c>
      <c r="F45" s="135" t="s">
        <v>49</v>
      </c>
      <c r="G45" s="136"/>
      <c r="H45" s="136"/>
      <c r="I45" s="136" t="s">
        <v>49</v>
      </c>
      <c r="J45" s="136"/>
      <c r="K45" s="136"/>
      <c r="L45" s="136" t="s">
        <v>49</v>
      </c>
      <c r="M45" s="136"/>
      <c r="N45" s="136"/>
      <c r="O45" s="137"/>
    </row>
    <row r="46" customFormat="false" ht="23.85" hidden="false" customHeight="false" outlineLevel="0" collapsed="false">
      <c r="A46" s="133" t="s">
        <v>210</v>
      </c>
      <c r="B46" s="134" t="s">
        <v>211</v>
      </c>
      <c r="C46" s="134" t="s">
        <v>212</v>
      </c>
      <c r="D46" s="134" t="s">
        <v>119</v>
      </c>
      <c r="E46" s="134" t="s">
        <v>190</v>
      </c>
      <c r="F46" s="135" t="s">
        <v>49</v>
      </c>
      <c r="G46" s="136"/>
      <c r="H46" s="136"/>
      <c r="I46" s="136" t="s">
        <v>49</v>
      </c>
      <c r="J46" s="136"/>
      <c r="K46" s="136"/>
      <c r="L46" s="136" t="s">
        <v>49</v>
      </c>
      <c r="M46" s="136"/>
      <c r="N46" s="136"/>
      <c r="O46" s="137"/>
    </row>
    <row r="47" s="111" customFormat="true" ht="15.75" hidden="false" customHeight="true" outlineLevel="0" collapsed="false">
      <c r="A47" s="128" t="s">
        <v>213</v>
      </c>
      <c r="B47" s="128"/>
      <c r="C47" s="129"/>
      <c r="D47" s="129"/>
      <c r="E47" s="129"/>
      <c r="F47" s="139"/>
      <c r="G47" s="139"/>
      <c r="H47" s="139"/>
      <c r="I47" s="139"/>
      <c r="J47" s="139"/>
      <c r="K47" s="139"/>
      <c r="L47" s="139"/>
      <c r="M47" s="139"/>
      <c r="N47" s="139"/>
      <c r="O47" s="140"/>
      <c r="Q47" s="132"/>
    </row>
    <row r="48" customFormat="false" ht="35.05" hidden="false" customHeight="false" outlineLevel="1" collapsed="false">
      <c r="A48" s="133" t="s">
        <v>214</v>
      </c>
      <c r="B48" s="134" t="s">
        <v>215</v>
      </c>
      <c r="C48" s="134" t="s">
        <v>216</v>
      </c>
      <c r="D48" s="134" t="s">
        <v>217</v>
      </c>
      <c r="E48" s="134" t="s">
        <v>218</v>
      </c>
      <c r="F48" s="135" t="s">
        <v>49</v>
      </c>
      <c r="G48" s="136"/>
      <c r="H48" s="136"/>
      <c r="I48" s="136" t="s">
        <v>49</v>
      </c>
      <c r="J48" s="136"/>
      <c r="K48" s="136"/>
      <c r="L48" s="136" t="s">
        <v>49</v>
      </c>
      <c r="M48" s="136"/>
      <c r="N48" s="136"/>
      <c r="O48" s="137"/>
      <c r="Q48" s="138"/>
    </row>
    <row r="49" customFormat="false" ht="23.85" hidden="false" customHeight="false" outlineLevel="1" collapsed="false">
      <c r="A49" s="133" t="s">
        <v>219</v>
      </c>
      <c r="B49" s="134" t="s">
        <v>220</v>
      </c>
      <c r="C49" s="134" t="s">
        <v>221</v>
      </c>
      <c r="D49" s="134" t="s">
        <v>222</v>
      </c>
      <c r="E49" s="134" t="s">
        <v>223</v>
      </c>
      <c r="F49" s="135" t="s">
        <v>49</v>
      </c>
      <c r="G49" s="136"/>
      <c r="H49" s="136"/>
      <c r="I49" s="136" t="s">
        <v>49</v>
      </c>
      <c r="J49" s="136"/>
      <c r="K49" s="136"/>
      <c r="L49" s="136" t="s">
        <v>49</v>
      </c>
      <c r="M49" s="136"/>
      <c r="N49" s="136"/>
      <c r="O49" s="137"/>
      <c r="Q49" s="138"/>
    </row>
    <row r="50" customFormat="false" ht="23.85" hidden="false" customHeight="false" outlineLevel="1" collapsed="false">
      <c r="A50" s="133" t="s">
        <v>224</v>
      </c>
      <c r="B50" s="134" t="s">
        <v>225</v>
      </c>
      <c r="C50" s="134" t="s">
        <v>226</v>
      </c>
      <c r="D50" s="134" t="s">
        <v>227</v>
      </c>
      <c r="E50" s="134" t="s">
        <v>223</v>
      </c>
      <c r="F50" s="135" t="s">
        <v>49</v>
      </c>
      <c r="G50" s="136"/>
      <c r="H50" s="136"/>
      <c r="I50" s="136" t="s">
        <v>49</v>
      </c>
      <c r="J50" s="136"/>
      <c r="K50" s="136"/>
      <c r="L50" s="136" t="s">
        <v>49</v>
      </c>
      <c r="M50" s="136"/>
      <c r="N50" s="136"/>
      <c r="O50" s="137"/>
      <c r="Q50" s="138"/>
    </row>
    <row r="51" customFormat="false" ht="23.85" hidden="false" customHeight="false" outlineLevel="1" collapsed="false">
      <c r="A51" s="133" t="s">
        <v>228</v>
      </c>
      <c r="B51" s="134" t="s">
        <v>229</v>
      </c>
      <c r="C51" s="134" t="s">
        <v>230</v>
      </c>
      <c r="D51" s="134" t="s">
        <v>231</v>
      </c>
      <c r="E51" s="134" t="s">
        <v>223</v>
      </c>
      <c r="F51" s="135" t="s">
        <v>49</v>
      </c>
      <c r="G51" s="136"/>
      <c r="H51" s="136"/>
      <c r="I51" s="136" t="s">
        <v>49</v>
      </c>
      <c r="J51" s="136"/>
      <c r="K51" s="136"/>
      <c r="L51" s="136" t="s">
        <v>49</v>
      </c>
      <c r="M51" s="136"/>
      <c r="N51" s="136"/>
      <c r="O51" s="137"/>
      <c r="Q51" s="138"/>
    </row>
    <row r="52" customFormat="false" ht="23.85" hidden="false" customHeight="false" outlineLevel="0" collapsed="false">
      <c r="A52" s="133" t="s">
        <v>232</v>
      </c>
      <c r="B52" s="134" t="s">
        <v>233</v>
      </c>
      <c r="C52" s="134" t="s">
        <v>234</v>
      </c>
      <c r="D52" s="134" t="s">
        <v>235</v>
      </c>
      <c r="E52" s="134" t="s">
        <v>223</v>
      </c>
      <c r="F52" s="135" t="s">
        <v>49</v>
      </c>
      <c r="G52" s="136"/>
      <c r="H52" s="136"/>
      <c r="I52" s="136" t="s">
        <v>49</v>
      </c>
      <c r="J52" s="136"/>
      <c r="K52" s="136"/>
      <c r="L52" s="136" t="s">
        <v>49</v>
      </c>
      <c r="M52" s="136"/>
      <c r="N52" s="136"/>
      <c r="O52" s="137"/>
    </row>
    <row r="53" customFormat="false" ht="23.85" hidden="false" customHeight="false" outlineLevel="0" collapsed="false">
      <c r="A53" s="133" t="s">
        <v>236</v>
      </c>
      <c r="B53" s="134" t="s">
        <v>237</v>
      </c>
      <c r="C53" s="134" t="s">
        <v>238</v>
      </c>
      <c r="D53" s="134" t="s">
        <v>239</v>
      </c>
      <c r="E53" s="134" t="s">
        <v>223</v>
      </c>
      <c r="F53" s="135" t="s">
        <v>49</v>
      </c>
      <c r="G53" s="136"/>
      <c r="H53" s="136"/>
      <c r="I53" s="136" t="s">
        <v>49</v>
      </c>
      <c r="J53" s="136"/>
      <c r="K53" s="136"/>
      <c r="L53" s="136" t="s">
        <v>49</v>
      </c>
      <c r="M53" s="136"/>
      <c r="N53" s="136"/>
      <c r="O53" s="137"/>
    </row>
    <row r="54" s="111" customFormat="true" ht="15.75" hidden="false" customHeight="true" outlineLevel="0" collapsed="false">
      <c r="A54" s="128" t="s">
        <v>240</v>
      </c>
      <c r="B54" s="128"/>
      <c r="C54" s="129"/>
      <c r="D54" s="129"/>
      <c r="E54" s="129"/>
      <c r="F54" s="139"/>
      <c r="G54" s="139"/>
      <c r="H54" s="139"/>
      <c r="I54" s="139"/>
      <c r="J54" s="139"/>
      <c r="K54" s="139"/>
      <c r="L54" s="139"/>
      <c r="M54" s="139"/>
      <c r="N54" s="139"/>
      <c r="O54" s="140"/>
      <c r="Q54" s="132"/>
    </row>
    <row r="55" customFormat="false" ht="35.05" hidden="false" customHeight="false" outlineLevel="1" collapsed="false">
      <c r="A55" s="133" t="s">
        <v>241</v>
      </c>
      <c r="B55" s="134" t="s">
        <v>242</v>
      </c>
      <c r="C55" s="134" t="s">
        <v>243</v>
      </c>
      <c r="D55" s="134" t="s">
        <v>244</v>
      </c>
      <c r="E55" s="141" t="s">
        <v>245</v>
      </c>
      <c r="F55" s="135" t="s">
        <v>49</v>
      </c>
      <c r="G55" s="136"/>
      <c r="H55" s="136"/>
      <c r="I55" s="136" t="s">
        <v>49</v>
      </c>
      <c r="J55" s="136"/>
      <c r="K55" s="136"/>
      <c r="L55" s="136" t="s">
        <v>49</v>
      </c>
      <c r="M55" s="136"/>
      <c r="N55" s="136"/>
      <c r="O55" s="137"/>
      <c r="Q55" s="138"/>
    </row>
    <row r="56" customFormat="false" ht="35.05" hidden="false" customHeight="false" outlineLevel="0" collapsed="false">
      <c r="A56" s="133" t="s">
        <v>246</v>
      </c>
      <c r="B56" s="134" t="s">
        <v>247</v>
      </c>
      <c r="C56" s="134" t="s">
        <v>248</v>
      </c>
      <c r="D56" s="134" t="s">
        <v>249</v>
      </c>
      <c r="E56" s="141" t="s">
        <v>250</v>
      </c>
      <c r="F56" s="135" t="s">
        <v>49</v>
      </c>
      <c r="G56" s="136"/>
      <c r="H56" s="136"/>
      <c r="I56" s="136" t="s">
        <v>49</v>
      </c>
      <c r="J56" s="136"/>
      <c r="K56" s="136"/>
      <c r="L56" s="136" t="s">
        <v>49</v>
      </c>
      <c r="M56" s="136"/>
      <c r="N56" s="136"/>
      <c r="O56" s="137"/>
    </row>
    <row r="57" customFormat="false" ht="23.85" hidden="false" customHeight="false" outlineLevel="0" collapsed="false">
      <c r="A57" s="133" t="s">
        <v>251</v>
      </c>
      <c r="B57" s="134" t="s">
        <v>252</v>
      </c>
      <c r="C57" s="134" t="s">
        <v>253</v>
      </c>
      <c r="D57" s="134" t="s">
        <v>254</v>
      </c>
      <c r="E57" s="134" t="s">
        <v>250</v>
      </c>
      <c r="F57" s="135" t="s">
        <v>49</v>
      </c>
      <c r="G57" s="136"/>
      <c r="H57" s="136"/>
      <c r="I57" s="136" t="s">
        <v>49</v>
      </c>
      <c r="J57" s="136"/>
      <c r="K57" s="136"/>
      <c r="L57" s="136" t="s">
        <v>49</v>
      </c>
      <c r="M57" s="136"/>
      <c r="N57" s="136"/>
      <c r="O57" s="137"/>
    </row>
    <row r="58" customFormat="false" ht="35.05" hidden="false" customHeight="false" outlineLevel="0" collapsed="false">
      <c r="A58" s="133" t="s">
        <v>255</v>
      </c>
      <c r="B58" s="134" t="s">
        <v>256</v>
      </c>
      <c r="C58" s="134" t="s">
        <v>257</v>
      </c>
      <c r="D58" s="134" t="s">
        <v>258</v>
      </c>
      <c r="E58" s="134" t="s">
        <v>250</v>
      </c>
      <c r="F58" s="135" t="s">
        <v>49</v>
      </c>
      <c r="G58" s="136"/>
      <c r="H58" s="136"/>
      <c r="I58" s="136" t="s">
        <v>49</v>
      </c>
      <c r="J58" s="136"/>
      <c r="K58" s="136"/>
      <c r="L58" s="136" t="s">
        <v>49</v>
      </c>
      <c r="M58" s="136"/>
      <c r="N58" s="136"/>
      <c r="O58" s="137"/>
    </row>
    <row r="59" customFormat="false" ht="35.05" hidden="false" customHeight="false" outlineLevel="0" collapsed="false">
      <c r="A59" s="133" t="s">
        <v>259</v>
      </c>
      <c r="B59" s="134" t="s">
        <v>260</v>
      </c>
      <c r="C59" s="134" t="s">
        <v>261</v>
      </c>
      <c r="D59" s="134" t="s">
        <v>262</v>
      </c>
      <c r="E59" s="134" t="s">
        <v>250</v>
      </c>
      <c r="F59" s="135" t="s">
        <v>49</v>
      </c>
      <c r="G59" s="136"/>
      <c r="H59" s="136"/>
      <c r="I59" s="136" t="s">
        <v>49</v>
      </c>
      <c r="J59" s="136"/>
      <c r="K59" s="136"/>
      <c r="L59" s="136" t="s">
        <v>49</v>
      </c>
      <c r="M59" s="136"/>
      <c r="N59" s="136"/>
      <c r="O59" s="137"/>
    </row>
    <row r="60" customFormat="false" ht="35.05" hidden="false" customHeight="false" outlineLevel="0" collapsed="false">
      <c r="A60" s="133" t="s">
        <v>263</v>
      </c>
      <c r="B60" s="134" t="s">
        <v>264</v>
      </c>
      <c r="C60" s="134" t="s">
        <v>265</v>
      </c>
      <c r="D60" s="134" t="s">
        <v>266</v>
      </c>
      <c r="E60" s="134" t="s">
        <v>250</v>
      </c>
      <c r="F60" s="135" t="s">
        <v>49</v>
      </c>
      <c r="G60" s="136"/>
      <c r="H60" s="136"/>
      <c r="I60" s="136" t="s">
        <v>49</v>
      </c>
      <c r="J60" s="136"/>
      <c r="K60" s="136"/>
      <c r="L60" s="136" t="s">
        <v>49</v>
      </c>
      <c r="M60" s="136"/>
      <c r="N60" s="136"/>
      <c r="O60" s="137"/>
    </row>
    <row r="61" customFormat="false" ht="46.25" hidden="false" customHeight="false" outlineLevel="0" collapsed="false">
      <c r="A61" s="133" t="s">
        <v>267</v>
      </c>
      <c r="B61" s="134" t="s">
        <v>268</v>
      </c>
      <c r="C61" s="134" t="s">
        <v>269</v>
      </c>
      <c r="D61" s="134" t="s">
        <v>270</v>
      </c>
      <c r="E61" s="134" t="s">
        <v>250</v>
      </c>
      <c r="F61" s="135" t="s">
        <v>49</v>
      </c>
      <c r="G61" s="136"/>
      <c r="H61" s="136"/>
      <c r="I61" s="136" t="s">
        <v>49</v>
      </c>
      <c r="J61" s="136"/>
      <c r="K61" s="136"/>
      <c r="L61" s="136" t="s">
        <v>49</v>
      </c>
      <c r="M61" s="136"/>
      <c r="N61" s="136"/>
      <c r="O61" s="137"/>
    </row>
    <row r="62" customFormat="false" ht="35.05" hidden="false" customHeight="false" outlineLevel="0" collapsed="false">
      <c r="A62" s="133" t="s">
        <v>271</v>
      </c>
      <c r="B62" s="134" t="s">
        <v>272</v>
      </c>
      <c r="C62" s="134" t="s">
        <v>273</v>
      </c>
      <c r="D62" s="134" t="s">
        <v>274</v>
      </c>
      <c r="E62" s="134" t="s">
        <v>275</v>
      </c>
      <c r="F62" s="135" t="s">
        <v>49</v>
      </c>
      <c r="G62" s="136"/>
      <c r="H62" s="136"/>
      <c r="I62" s="136" t="s">
        <v>49</v>
      </c>
      <c r="J62" s="136"/>
      <c r="K62" s="136"/>
      <c r="L62" s="136" t="s">
        <v>49</v>
      </c>
      <c r="M62" s="136"/>
      <c r="N62" s="136"/>
      <c r="O62" s="137"/>
    </row>
    <row r="63" customFormat="false" ht="46.25" hidden="false" customHeight="false" outlineLevel="0" collapsed="false">
      <c r="A63" s="133" t="s">
        <v>276</v>
      </c>
      <c r="B63" s="134" t="s">
        <v>277</v>
      </c>
      <c r="C63" s="134" t="s">
        <v>278</v>
      </c>
      <c r="D63" s="134" t="s">
        <v>279</v>
      </c>
      <c r="E63" s="134" t="s">
        <v>280</v>
      </c>
      <c r="F63" s="135" t="s">
        <v>49</v>
      </c>
      <c r="G63" s="136"/>
      <c r="H63" s="136"/>
      <c r="I63" s="136" t="s">
        <v>49</v>
      </c>
      <c r="J63" s="136"/>
      <c r="K63" s="136"/>
      <c r="L63" s="136" t="s">
        <v>49</v>
      </c>
      <c r="M63" s="136"/>
      <c r="N63" s="136"/>
      <c r="O63" s="137"/>
    </row>
    <row r="64" customFormat="false" ht="23.85" hidden="false" customHeight="false" outlineLevel="0" collapsed="false">
      <c r="A64" s="133" t="s">
        <v>281</v>
      </c>
      <c r="B64" s="134" t="s">
        <v>282</v>
      </c>
      <c r="C64" s="134" t="s">
        <v>283</v>
      </c>
      <c r="D64" s="134" t="s">
        <v>284</v>
      </c>
      <c r="E64" s="134" t="s">
        <v>285</v>
      </c>
      <c r="F64" s="135" t="s">
        <v>49</v>
      </c>
      <c r="G64" s="136"/>
      <c r="H64" s="136"/>
      <c r="I64" s="136" t="s">
        <v>49</v>
      </c>
      <c r="J64" s="136"/>
      <c r="K64" s="136"/>
      <c r="L64" s="136" t="s">
        <v>49</v>
      </c>
      <c r="M64" s="136"/>
      <c r="N64" s="136"/>
      <c r="O64" s="137"/>
    </row>
  </sheetData>
  <mergeCells count="3">
    <mergeCell ref="B2:E2"/>
    <mergeCell ref="B3:E3"/>
    <mergeCell ref="B4:E4"/>
  </mergeCells>
  <dataValidations count="2">
    <dataValidation allowBlank="true" errorStyle="stop" operator="between" showDropDown="false" showErrorMessage="true" showInputMessage="false" sqref="G2:G3 J2:J3 M2:M3 G9 J9 M9 F12:F26 I12:I26 L12:L26 F28:F35 I28:I35 L28:L35 F37:F64 I37:I64 L37:L64 G65:G171 J65:J171 M65:M171" type="list">
      <formula1>$R$2:$R$5</formula1>
      <formula2>0</formula2>
    </dataValidation>
    <dataValidation allowBlank="true" errorStyle="stop" operator="between" showDropDown="false" showErrorMessage="true" showInputMessage="false" sqref="F10 I10 L10" type="none">
      <formula1>0</formula1>
      <formula2>0</formula2>
    </dataValidation>
  </dataValidations>
  <printOptions headings="false" gridLines="false" gridLinesSet="true" horizontalCentered="false" verticalCentered="false"/>
  <pageMargins left="0.747916666666667" right="0.25" top="0.75" bottom="0.984027777777778" header="0.5" footer="0.5"/>
  <pageSetup paperSize="9" scale="100" fitToWidth="1" fitToHeight="1" pageOrder="downThenOver" orientation="landscape" blackAndWhite="false" draft="false" cellComments="none" horizontalDpi="300" verticalDpi="300" copies="1"/>
  <headerFooter differentFirst="false" differentOddEven="false">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2:R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0" topLeftCell="A36" activePane="bottomLeft" state="frozen"/>
      <selection pane="topLeft" activeCell="A1" activeCellId="0" sqref="A1"/>
      <selection pane="bottomLeft" activeCell="C61" activeCellId="0" sqref="C61"/>
    </sheetView>
  </sheetViews>
  <sheetFormatPr defaultColWidth="9.00390625" defaultRowHeight="12.75" customHeight="false" zeroHeight="false" outlineLevelRow="1" outlineLevelCol="1"/>
  <cols>
    <col collapsed="false" customWidth="true" hidden="false" outlineLevel="0" max="1" min="1" style="36" width="17"/>
    <col collapsed="false" customWidth="true" hidden="false" outlineLevel="0" max="2" min="2" style="36" width="34.44"/>
    <col collapsed="false" customWidth="true" hidden="false" outlineLevel="0" max="3" min="3" style="36" width="34.11"/>
    <col collapsed="false" customWidth="true" hidden="false" outlineLevel="0" max="4" min="4" style="36" width="34.67"/>
    <col collapsed="false" customWidth="true" hidden="false" outlineLevel="0" max="5" min="5" style="36" width="32"/>
    <col collapsed="false" customWidth="true" hidden="false" outlineLevel="0" max="6" min="6" style="36" width="9.33"/>
    <col collapsed="false" customWidth="true" hidden="false" outlineLevel="1" max="7" min="7" style="36" width="10.67"/>
    <col collapsed="false" customWidth="true" hidden="false" outlineLevel="1" max="8" min="8" style="36" width="7"/>
    <col collapsed="false" customWidth="true" hidden="false" outlineLevel="0" max="9" min="9" style="36" width="9.33"/>
    <col collapsed="false" customWidth="true" hidden="false" outlineLevel="1" max="10" min="10" style="36" width="10.67"/>
    <col collapsed="false" customWidth="true" hidden="false" outlineLevel="1" max="11" min="11" style="36" width="7"/>
    <col collapsed="false" customWidth="true" hidden="false" outlineLevel="0" max="12" min="12" style="36" width="9.33"/>
    <col collapsed="false" customWidth="true" hidden="false" outlineLevel="1" max="13" min="13" style="36" width="10.67"/>
    <col collapsed="false" customWidth="true" hidden="false" outlineLevel="1" max="14" min="14" style="36" width="7"/>
    <col collapsed="false" customWidth="true" hidden="false" outlineLevel="0" max="15" min="15" style="36" width="28.67"/>
    <col collapsed="false" customWidth="true" hidden="false" outlineLevel="0" max="16" min="16" style="36" width="10.11"/>
    <col collapsed="false" customWidth="true" hidden="false" outlineLevel="0" max="17" min="17" style="105" width="8.11"/>
    <col collapsed="false" customWidth="true" hidden="true" outlineLevel="0" max="18" min="18" style="36" width="7.67"/>
    <col collapsed="false" customWidth="false" hidden="false" outlineLevel="0" max="16384" min="19" style="36" width="9"/>
  </cols>
  <sheetData>
    <row r="2" s="111" customFormat="true" ht="15" hidden="false" customHeight="true" outlineLevel="0" collapsed="false">
      <c r="A2" s="106" t="s">
        <v>57</v>
      </c>
      <c r="B2" s="107" t="s">
        <v>34</v>
      </c>
      <c r="C2" s="107"/>
      <c r="D2" s="107"/>
      <c r="E2" s="107"/>
      <c r="F2" s="108"/>
      <c r="G2" s="109"/>
      <c r="H2" s="45"/>
      <c r="I2" s="108"/>
      <c r="J2" s="109"/>
      <c r="K2" s="45"/>
      <c r="L2" s="108"/>
      <c r="M2" s="109"/>
      <c r="N2" s="45"/>
      <c r="O2" s="45"/>
      <c r="P2" s="45"/>
      <c r="Q2" s="110"/>
      <c r="R2" s="111" t="s">
        <v>47</v>
      </c>
    </row>
    <row r="3" s="111" customFormat="true" ht="14.9" hidden="false" customHeight="true" outlineLevel="0" collapsed="false">
      <c r="A3" s="112" t="s">
        <v>58</v>
      </c>
      <c r="B3" s="113" t="s">
        <v>59</v>
      </c>
      <c r="C3" s="113"/>
      <c r="D3" s="113"/>
      <c r="E3" s="113"/>
      <c r="F3" s="108"/>
      <c r="G3" s="109"/>
      <c r="H3" s="45"/>
      <c r="I3" s="108"/>
      <c r="J3" s="109"/>
      <c r="K3" s="45"/>
      <c r="L3" s="108"/>
      <c r="M3" s="109"/>
      <c r="N3" s="45"/>
      <c r="O3" s="45"/>
      <c r="P3" s="45"/>
      <c r="Q3" s="110"/>
      <c r="R3" s="111" t="s">
        <v>48</v>
      </c>
    </row>
    <row r="4" s="111" customFormat="true" ht="18" hidden="false" customHeight="true" outlineLevel="0" collapsed="false">
      <c r="A4" s="112" t="s">
        <v>60</v>
      </c>
      <c r="B4" s="113" t="n">
        <f aca="false">COUNTA(A12:A1021)</f>
        <v>46</v>
      </c>
      <c r="C4" s="113"/>
      <c r="D4" s="113"/>
      <c r="E4" s="113"/>
      <c r="F4" s="108"/>
      <c r="G4" s="109"/>
      <c r="H4" s="45"/>
      <c r="I4" s="108"/>
      <c r="J4" s="109"/>
      <c r="K4" s="45"/>
      <c r="L4" s="108"/>
      <c r="M4" s="109"/>
      <c r="N4" s="45"/>
      <c r="O4" s="45"/>
      <c r="P4" s="45"/>
      <c r="Q4" s="110"/>
      <c r="R4" s="111" t="s">
        <v>49</v>
      </c>
    </row>
    <row r="5" s="111" customFormat="true" ht="19.5" hidden="false" customHeight="true" outlineLevel="0" collapsed="false">
      <c r="A5" s="114" t="s">
        <v>61</v>
      </c>
      <c r="B5" s="115" t="s">
        <v>47</v>
      </c>
      <c r="C5" s="115" t="s">
        <v>48</v>
      </c>
      <c r="D5" s="115" t="s">
        <v>49</v>
      </c>
      <c r="E5" s="116" t="s">
        <v>50</v>
      </c>
      <c r="F5" s="117"/>
      <c r="G5" s="117"/>
      <c r="H5" s="118"/>
      <c r="I5" s="117"/>
      <c r="J5" s="117"/>
      <c r="K5" s="118"/>
      <c r="L5" s="117"/>
      <c r="M5" s="117"/>
      <c r="N5" s="118"/>
      <c r="O5" s="118"/>
      <c r="P5" s="118"/>
      <c r="Q5" s="119"/>
      <c r="R5" s="111" t="s">
        <v>50</v>
      </c>
    </row>
    <row r="6" s="111" customFormat="true" ht="15" hidden="false" customHeight="true" outlineLevel="0" collapsed="false">
      <c r="A6" s="114" t="s">
        <v>62</v>
      </c>
      <c r="B6" s="120" t="n">
        <f aca="false">COUNTIF($F10:$F1019,B5)</f>
        <v>0</v>
      </c>
      <c r="C6" s="120" t="n">
        <f aca="false">COUNTIF($F10:$F1019,C5)</f>
        <v>0</v>
      </c>
      <c r="D6" s="120" t="n">
        <f aca="false">COUNTIF($F10:$F1019,D5)</f>
        <v>42</v>
      </c>
      <c r="E6" s="121" t="n">
        <f aca="false">COUNTIF($F10:$F1019,E5)</f>
        <v>0</v>
      </c>
      <c r="F6" s="122"/>
      <c r="G6" s="122"/>
      <c r="H6" s="118"/>
      <c r="I6" s="122"/>
      <c r="J6" s="122"/>
      <c r="K6" s="118"/>
      <c r="L6" s="122"/>
      <c r="M6" s="122"/>
      <c r="N6" s="118"/>
      <c r="O6" s="118"/>
      <c r="P6" s="118"/>
      <c r="Q6" s="119"/>
    </row>
    <row r="7" s="111" customFormat="true" ht="15" hidden="false" customHeight="true" outlineLevel="0" collapsed="false">
      <c r="A7" s="114" t="s">
        <v>63</v>
      </c>
      <c r="B7" s="120" t="n">
        <f aca="false">COUNTIF($F10:$F1019,B5)</f>
        <v>0</v>
      </c>
      <c r="C7" s="120" t="n">
        <f aca="false">COUNTIF($F10:$F1019,C5)</f>
        <v>0</v>
      </c>
      <c r="D7" s="120" t="n">
        <f aca="false">COUNTIF($F10:$F1019,D5)</f>
        <v>42</v>
      </c>
      <c r="E7" s="121" t="n">
        <f aca="false">COUNTIF($F10:$F1019,E5)</f>
        <v>0</v>
      </c>
      <c r="F7" s="122"/>
      <c r="G7" s="122"/>
      <c r="H7" s="118"/>
      <c r="I7" s="122"/>
      <c r="J7" s="122"/>
      <c r="K7" s="118"/>
      <c r="L7" s="122"/>
      <c r="M7" s="122"/>
      <c r="N7" s="118"/>
      <c r="O7" s="118"/>
      <c r="P7" s="118"/>
      <c r="Q7" s="119"/>
    </row>
    <row r="8" s="111" customFormat="true" ht="15" hidden="false" customHeight="true" outlineLevel="0" collapsed="false">
      <c r="A8" s="123" t="s">
        <v>64</v>
      </c>
      <c r="B8" s="124" t="n">
        <f aca="false">COUNTIF($F10:$F1019,B5)</f>
        <v>0</v>
      </c>
      <c r="C8" s="124" t="n">
        <f aca="false">COUNTIF($F10:$F1019,C5)</f>
        <v>0</v>
      </c>
      <c r="D8" s="124" t="n">
        <f aca="false">COUNTIF($F10:$F1019,D5)</f>
        <v>42</v>
      </c>
      <c r="E8" s="125" t="n">
        <f aca="false">COUNTIF($F10:$F1019,E5)</f>
        <v>0</v>
      </c>
      <c r="F8" s="122"/>
      <c r="G8" s="122"/>
      <c r="H8" s="118"/>
      <c r="I8" s="122"/>
      <c r="J8" s="122"/>
      <c r="K8" s="118"/>
      <c r="L8" s="122"/>
      <c r="M8" s="122"/>
      <c r="N8" s="118"/>
      <c r="O8" s="118"/>
      <c r="P8" s="118"/>
      <c r="Q8" s="119"/>
    </row>
    <row r="9" s="111" customFormat="true" ht="15" hidden="false" customHeight="true" outlineLevel="0" collapsed="false">
      <c r="A9" s="118"/>
      <c r="B9" s="118"/>
      <c r="C9" s="118"/>
      <c r="D9" s="118"/>
      <c r="E9" s="118"/>
      <c r="F9" s="104"/>
      <c r="G9" s="118"/>
      <c r="H9" s="118"/>
      <c r="I9" s="104"/>
      <c r="J9" s="118"/>
      <c r="K9" s="118"/>
      <c r="L9" s="104"/>
      <c r="M9" s="118"/>
      <c r="N9" s="118"/>
      <c r="O9" s="118"/>
      <c r="P9" s="118"/>
      <c r="Q9" s="119"/>
    </row>
    <row r="10" s="111" customFormat="true" ht="25.5" hidden="false" customHeight="true" outlineLevel="0" collapsed="false">
      <c r="A10" s="126" t="s">
        <v>65</v>
      </c>
      <c r="B10" s="126" t="s">
        <v>66</v>
      </c>
      <c r="C10" s="126" t="s">
        <v>67</v>
      </c>
      <c r="D10" s="126" t="s">
        <v>68</v>
      </c>
      <c r="E10" s="126" t="s">
        <v>69</v>
      </c>
      <c r="F10" s="126" t="s">
        <v>62</v>
      </c>
      <c r="G10" s="126" t="s">
        <v>70</v>
      </c>
      <c r="H10" s="126" t="s">
        <v>71</v>
      </c>
      <c r="I10" s="126" t="s">
        <v>63</v>
      </c>
      <c r="J10" s="126" t="s">
        <v>70</v>
      </c>
      <c r="K10" s="126" t="s">
        <v>71</v>
      </c>
      <c r="L10" s="126" t="s">
        <v>64</v>
      </c>
      <c r="M10" s="126" t="s">
        <v>70</v>
      </c>
      <c r="N10" s="126" t="s">
        <v>71</v>
      </c>
      <c r="O10" s="126" t="s">
        <v>72</v>
      </c>
      <c r="Q10" s="127"/>
    </row>
    <row r="11" s="111" customFormat="true" ht="15.75" hidden="false" customHeight="true" outlineLevel="0" collapsed="false">
      <c r="A11" s="128" t="s">
        <v>286</v>
      </c>
      <c r="B11" s="128"/>
      <c r="C11" s="129"/>
      <c r="D11" s="129"/>
      <c r="E11" s="129"/>
      <c r="F11" s="130"/>
      <c r="G11" s="130"/>
      <c r="H11" s="130"/>
      <c r="I11" s="130"/>
      <c r="J11" s="130"/>
      <c r="K11" s="130"/>
      <c r="L11" s="130"/>
      <c r="M11" s="130"/>
      <c r="N11" s="130"/>
      <c r="O11" s="131"/>
      <c r="Q11" s="132"/>
    </row>
    <row r="12" customFormat="false" ht="68.65" hidden="false" customHeight="false" outlineLevel="1" collapsed="false">
      <c r="A12" s="133" t="s">
        <v>287</v>
      </c>
      <c r="B12" s="134" t="s">
        <v>288</v>
      </c>
      <c r="C12" s="134" t="s">
        <v>289</v>
      </c>
      <c r="D12" s="134" t="s">
        <v>290</v>
      </c>
      <c r="E12" s="134" t="s">
        <v>136</v>
      </c>
      <c r="F12" s="135" t="s">
        <v>49</v>
      </c>
      <c r="G12" s="136"/>
      <c r="H12" s="136"/>
      <c r="I12" s="136" t="s">
        <v>49</v>
      </c>
      <c r="J12" s="136"/>
      <c r="K12" s="136"/>
      <c r="L12" s="136" t="s">
        <v>49</v>
      </c>
      <c r="M12" s="136"/>
      <c r="N12" s="136"/>
      <c r="O12" s="137"/>
      <c r="Q12" s="138"/>
    </row>
    <row r="13" customFormat="false" ht="46.25" hidden="false" customHeight="false" outlineLevel="1" collapsed="false">
      <c r="A13" s="133" t="s">
        <v>291</v>
      </c>
      <c r="B13" s="134" t="s">
        <v>292</v>
      </c>
      <c r="C13" s="134" t="s">
        <v>293</v>
      </c>
      <c r="D13" s="134" t="s">
        <v>294</v>
      </c>
      <c r="E13" s="134" t="s">
        <v>295</v>
      </c>
      <c r="F13" s="135" t="s">
        <v>49</v>
      </c>
      <c r="G13" s="136"/>
      <c r="H13" s="136"/>
      <c r="I13" s="136" t="s">
        <v>49</v>
      </c>
      <c r="J13" s="136"/>
      <c r="K13" s="136"/>
      <c r="L13" s="136" t="s">
        <v>49</v>
      </c>
      <c r="M13" s="136"/>
      <c r="N13" s="136"/>
      <c r="O13" s="137"/>
      <c r="Q13" s="138"/>
    </row>
    <row r="14" customFormat="false" ht="35.05" hidden="false" customHeight="false" outlineLevel="1" collapsed="false">
      <c r="A14" s="133" t="s">
        <v>296</v>
      </c>
      <c r="B14" s="134" t="s">
        <v>297</v>
      </c>
      <c r="C14" s="134" t="s">
        <v>298</v>
      </c>
      <c r="D14" s="134" t="s">
        <v>299</v>
      </c>
      <c r="E14" s="134" t="s">
        <v>300</v>
      </c>
      <c r="F14" s="135" t="s">
        <v>49</v>
      </c>
      <c r="G14" s="136"/>
      <c r="H14" s="136"/>
      <c r="I14" s="136" t="s">
        <v>49</v>
      </c>
      <c r="J14" s="136"/>
      <c r="K14" s="136"/>
      <c r="L14" s="136" t="s">
        <v>49</v>
      </c>
      <c r="M14" s="136"/>
      <c r="N14" s="136"/>
      <c r="O14" s="137"/>
      <c r="Q14" s="138"/>
    </row>
    <row r="15" customFormat="false" ht="35.05" hidden="false" customHeight="false" outlineLevel="1" collapsed="false">
      <c r="A15" s="133" t="s">
        <v>301</v>
      </c>
      <c r="B15" s="134" t="s">
        <v>302</v>
      </c>
      <c r="C15" s="134" t="s">
        <v>303</v>
      </c>
      <c r="D15" s="134" t="s">
        <v>304</v>
      </c>
      <c r="E15" s="134" t="s">
        <v>136</v>
      </c>
      <c r="F15" s="135" t="s">
        <v>49</v>
      </c>
      <c r="G15" s="136"/>
      <c r="H15" s="136"/>
      <c r="I15" s="136" t="s">
        <v>49</v>
      </c>
      <c r="J15" s="136"/>
      <c r="K15" s="136"/>
      <c r="L15" s="136" t="s">
        <v>49</v>
      </c>
      <c r="M15" s="136"/>
      <c r="N15" s="136"/>
      <c r="O15" s="137"/>
      <c r="Q15" s="138"/>
    </row>
    <row r="16" customFormat="false" ht="57.45" hidden="false" customHeight="false" outlineLevel="1" collapsed="false">
      <c r="A16" s="133" t="s">
        <v>305</v>
      </c>
      <c r="B16" s="134" t="s">
        <v>306</v>
      </c>
      <c r="C16" s="134" t="s">
        <v>307</v>
      </c>
      <c r="D16" s="134" t="s">
        <v>308</v>
      </c>
      <c r="E16" s="134" t="s">
        <v>136</v>
      </c>
      <c r="F16" s="135" t="s">
        <v>49</v>
      </c>
      <c r="G16" s="136"/>
      <c r="H16" s="136"/>
      <c r="I16" s="136" t="s">
        <v>49</v>
      </c>
      <c r="J16" s="136"/>
      <c r="K16" s="136"/>
      <c r="L16" s="136" t="s">
        <v>49</v>
      </c>
      <c r="M16" s="136"/>
      <c r="N16" s="136"/>
      <c r="O16" s="137"/>
      <c r="Q16" s="138"/>
    </row>
    <row r="17" customFormat="false" ht="46.25" hidden="false" customHeight="false" outlineLevel="1" collapsed="false">
      <c r="A17" s="133" t="s">
        <v>309</v>
      </c>
      <c r="B17" s="134" t="s">
        <v>310</v>
      </c>
      <c r="C17" s="134" t="s">
        <v>311</v>
      </c>
      <c r="D17" s="134" t="s">
        <v>312</v>
      </c>
      <c r="E17" s="134" t="s">
        <v>136</v>
      </c>
      <c r="F17" s="135" t="s">
        <v>49</v>
      </c>
      <c r="G17" s="136"/>
      <c r="H17" s="136"/>
      <c r="I17" s="136" t="s">
        <v>49</v>
      </c>
      <c r="J17" s="136"/>
      <c r="K17" s="136"/>
      <c r="L17" s="136" t="s">
        <v>49</v>
      </c>
      <c r="M17" s="136"/>
      <c r="N17" s="136"/>
      <c r="O17" s="137"/>
      <c r="Q17" s="138"/>
    </row>
    <row r="18" customFormat="false" ht="35.05" hidden="false" customHeight="false" outlineLevel="1" collapsed="false">
      <c r="A18" s="133" t="s">
        <v>313</v>
      </c>
      <c r="B18" s="134" t="s">
        <v>314</v>
      </c>
      <c r="C18" s="134" t="s">
        <v>315</v>
      </c>
      <c r="D18" s="134" t="s">
        <v>316</v>
      </c>
      <c r="E18" s="134" t="s">
        <v>136</v>
      </c>
      <c r="F18" s="135" t="s">
        <v>49</v>
      </c>
      <c r="G18" s="136"/>
      <c r="H18" s="136"/>
      <c r="I18" s="136" t="s">
        <v>49</v>
      </c>
      <c r="J18" s="136"/>
      <c r="K18" s="136"/>
      <c r="L18" s="136" t="s">
        <v>49</v>
      </c>
      <c r="M18" s="136"/>
      <c r="N18" s="136"/>
      <c r="O18" s="137"/>
      <c r="Q18" s="138"/>
    </row>
    <row r="19" customFormat="false" ht="35.05" hidden="false" customHeight="false" outlineLevel="1" collapsed="false">
      <c r="A19" s="133" t="s">
        <v>317</v>
      </c>
      <c r="B19" s="134" t="s">
        <v>318</v>
      </c>
      <c r="C19" s="134" t="s">
        <v>319</v>
      </c>
      <c r="D19" s="134" t="s">
        <v>320</v>
      </c>
      <c r="E19" s="134" t="s">
        <v>136</v>
      </c>
      <c r="F19" s="135" t="s">
        <v>49</v>
      </c>
      <c r="G19" s="136"/>
      <c r="H19" s="136"/>
      <c r="I19" s="136" t="s">
        <v>49</v>
      </c>
      <c r="J19" s="136"/>
      <c r="K19" s="136"/>
      <c r="L19" s="136" t="s">
        <v>49</v>
      </c>
      <c r="M19" s="136"/>
      <c r="N19" s="136"/>
      <c r="O19" s="137"/>
      <c r="Q19" s="138"/>
    </row>
    <row r="20" customFormat="false" ht="23.85" hidden="false" customHeight="false" outlineLevel="1" collapsed="false">
      <c r="A20" s="133" t="s">
        <v>321</v>
      </c>
      <c r="B20" s="134" t="s">
        <v>322</v>
      </c>
      <c r="C20" s="134" t="s">
        <v>323</v>
      </c>
      <c r="D20" s="134" t="s">
        <v>324</v>
      </c>
      <c r="E20" s="134" t="s">
        <v>136</v>
      </c>
      <c r="F20" s="135" t="s">
        <v>49</v>
      </c>
      <c r="G20" s="136"/>
      <c r="H20" s="136"/>
      <c r="I20" s="136" t="s">
        <v>49</v>
      </c>
      <c r="J20" s="136"/>
      <c r="K20" s="136"/>
      <c r="L20" s="136" t="s">
        <v>49</v>
      </c>
      <c r="M20" s="136"/>
      <c r="N20" s="136"/>
      <c r="O20" s="137"/>
      <c r="Q20" s="138"/>
    </row>
    <row r="21" customFormat="false" ht="35.05" hidden="false" customHeight="false" outlineLevel="1" collapsed="false">
      <c r="A21" s="133" t="s">
        <v>325</v>
      </c>
      <c r="B21" s="134" t="s">
        <v>326</v>
      </c>
      <c r="C21" s="134" t="s">
        <v>327</v>
      </c>
      <c r="D21" s="134" t="s">
        <v>328</v>
      </c>
      <c r="E21" s="134" t="s">
        <v>136</v>
      </c>
      <c r="F21" s="135" t="s">
        <v>49</v>
      </c>
      <c r="G21" s="136"/>
      <c r="H21" s="136"/>
      <c r="I21" s="136" t="s">
        <v>49</v>
      </c>
      <c r="J21" s="136"/>
      <c r="K21" s="136"/>
      <c r="L21" s="136" t="s">
        <v>49</v>
      </c>
      <c r="M21" s="136"/>
      <c r="N21" s="136"/>
      <c r="O21" s="137"/>
      <c r="Q21" s="138"/>
    </row>
    <row r="22" customFormat="false" ht="46.25" hidden="false" customHeight="false" outlineLevel="1" collapsed="false">
      <c r="A22" s="133" t="s">
        <v>329</v>
      </c>
      <c r="B22" s="134" t="s">
        <v>330</v>
      </c>
      <c r="C22" s="134" t="s">
        <v>331</v>
      </c>
      <c r="D22" s="134" t="s">
        <v>332</v>
      </c>
      <c r="E22" s="134" t="s">
        <v>136</v>
      </c>
      <c r="F22" s="135" t="s">
        <v>49</v>
      </c>
      <c r="G22" s="136"/>
      <c r="H22" s="136"/>
      <c r="I22" s="136" t="s">
        <v>49</v>
      </c>
      <c r="J22" s="136"/>
      <c r="K22" s="136"/>
      <c r="L22" s="136" t="s">
        <v>49</v>
      </c>
      <c r="M22" s="136"/>
      <c r="N22" s="136"/>
      <c r="O22" s="137"/>
      <c r="Q22" s="138"/>
    </row>
    <row r="23" customFormat="false" ht="46.25" hidden="false" customHeight="false" outlineLevel="1" collapsed="false">
      <c r="A23" s="133" t="s">
        <v>333</v>
      </c>
      <c r="B23" s="134" t="s">
        <v>334</v>
      </c>
      <c r="C23" s="134" t="s">
        <v>335</v>
      </c>
      <c r="D23" s="134" t="s">
        <v>336</v>
      </c>
      <c r="E23" s="134" t="s">
        <v>136</v>
      </c>
      <c r="F23" s="135" t="s">
        <v>49</v>
      </c>
      <c r="G23" s="136"/>
      <c r="H23" s="136"/>
      <c r="I23" s="136" t="s">
        <v>49</v>
      </c>
      <c r="J23" s="136"/>
      <c r="K23" s="136"/>
      <c r="L23" s="136" t="s">
        <v>49</v>
      </c>
      <c r="M23" s="136"/>
      <c r="N23" s="136"/>
      <c r="O23" s="137"/>
      <c r="Q23" s="138"/>
    </row>
    <row r="24" customFormat="false" ht="46.25" hidden="false" customHeight="false" outlineLevel="1" collapsed="false">
      <c r="A24" s="133" t="s">
        <v>337</v>
      </c>
      <c r="B24" s="134" t="s">
        <v>338</v>
      </c>
      <c r="C24" s="134" t="s">
        <v>339</v>
      </c>
      <c r="D24" s="134" t="s">
        <v>340</v>
      </c>
      <c r="E24" s="134" t="s">
        <v>136</v>
      </c>
      <c r="F24" s="135" t="s">
        <v>49</v>
      </c>
      <c r="G24" s="136"/>
      <c r="H24" s="136"/>
      <c r="I24" s="136" t="s">
        <v>49</v>
      </c>
      <c r="J24" s="136"/>
      <c r="K24" s="136"/>
      <c r="L24" s="136" t="s">
        <v>49</v>
      </c>
      <c r="M24" s="136"/>
      <c r="N24" s="136"/>
      <c r="O24" s="137"/>
      <c r="Q24" s="138"/>
    </row>
    <row r="25" customFormat="false" ht="35.05" hidden="false" customHeight="false" outlineLevel="1" collapsed="false">
      <c r="A25" s="133" t="s">
        <v>341</v>
      </c>
      <c r="B25" s="134" t="s">
        <v>342</v>
      </c>
      <c r="C25" s="134" t="s">
        <v>343</v>
      </c>
      <c r="D25" s="134" t="s">
        <v>344</v>
      </c>
      <c r="E25" s="134" t="s">
        <v>136</v>
      </c>
      <c r="F25" s="135" t="s">
        <v>49</v>
      </c>
      <c r="G25" s="136"/>
      <c r="H25" s="136"/>
      <c r="I25" s="136" t="s">
        <v>49</v>
      </c>
      <c r="J25" s="136"/>
      <c r="K25" s="136"/>
      <c r="L25" s="136" t="s">
        <v>49</v>
      </c>
      <c r="M25" s="136"/>
      <c r="N25" s="136"/>
      <c r="O25" s="137"/>
      <c r="Q25" s="138"/>
    </row>
    <row r="26" customFormat="false" ht="35.05" hidden="false" customHeight="false" outlineLevel="1" collapsed="false">
      <c r="A26" s="133" t="s">
        <v>345</v>
      </c>
      <c r="B26" s="134" t="s">
        <v>346</v>
      </c>
      <c r="C26" s="134" t="s">
        <v>347</v>
      </c>
      <c r="D26" s="134" t="s">
        <v>348</v>
      </c>
      <c r="E26" s="134" t="s">
        <v>136</v>
      </c>
      <c r="F26" s="135" t="s">
        <v>49</v>
      </c>
      <c r="G26" s="136"/>
      <c r="H26" s="136"/>
      <c r="I26" s="136" t="s">
        <v>49</v>
      </c>
      <c r="J26" s="136"/>
      <c r="K26" s="136"/>
      <c r="L26" s="136" t="s">
        <v>49</v>
      </c>
      <c r="M26" s="136"/>
      <c r="N26" s="136"/>
      <c r="O26" s="137"/>
      <c r="Q26" s="138"/>
    </row>
    <row r="27" customFormat="false" ht="46.25" hidden="false" customHeight="false" outlineLevel="1" collapsed="false">
      <c r="A27" s="133" t="s">
        <v>349</v>
      </c>
      <c r="B27" s="134" t="s">
        <v>350</v>
      </c>
      <c r="C27" s="134" t="s">
        <v>351</v>
      </c>
      <c r="D27" s="134" t="s">
        <v>352</v>
      </c>
      <c r="E27" s="134" t="s">
        <v>136</v>
      </c>
      <c r="F27" s="135" t="s">
        <v>49</v>
      </c>
      <c r="G27" s="136"/>
      <c r="H27" s="136"/>
      <c r="I27" s="136" t="s">
        <v>49</v>
      </c>
      <c r="J27" s="136"/>
      <c r="K27" s="136"/>
      <c r="L27" s="136" t="s">
        <v>49</v>
      </c>
      <c r="M27" s="136"/>
      <c r="N27" s="136"/>
      <c r="O27" s="137"/>
      <c r="Q27" s="138"/>
    </row>
    <row r="28" s="111" customFormat="true" ht="15.75" hidden="false" customHeight="true" outlineLevel="0" collapsed="false">
      <c r="A28" s="128" t="s">
        <v>137</v>
      </c>
      <c r="B28" s="128"/>
      <c r="C28" s="129"/>
      <c r="D28" s="129"/>
      <c r="E28" s="129"/>
      <c r="F28" s="139"/>
      <c r="G28" s="139"/>
      <c r="H28" s="139"/>
      <c r="I28" s="139"/>
      <c r="J28" s="139"/>
      <c r="K28" s="139"/>
      <c r="L28" s="139"/>
      <c r="M28" s="139"/>
      <c r="N28" s="139"/>
      <c r="O28" s="140"/>
      <c r="Q28" s="132"/>
    </row>
    <row r="29" customFormat="false" ht="35.05" hidden="false" customHeight="false" outlineLevel="1" collapsed="false">
      <c r="A29" s="133" t="s">
        <v>353</v>
      </c>
      <c r="B29" s="134" t="s">
        <v>354</v>
      </c>
      <c r="C29" s="134" t="s">
        <v>355</v>
      </c>
      <c r="D29" s="134" t="s">
        <v>356</v>
      </c>
      <c r="E29" s="134" t="s">
        <v>357</v>
      </c>
      <c r="F29" s="135" t="s">
        <v>49</v>
      </c>
      <c r="G29" s="136"/>
      <c r="H29" s="136"/>
      <c r="I29" s="136" t="s">
        <v>49</v>
      </c>
      <c r="J29" s="136"/>
      <c r="K29" s="136"/>
      <c r="L29" s="136" t="s">
        <v>49</v>
      </c>
      <c r="M29" s="136"/>
      <c r="N29" s="136"/>
      <c r="O29" s="137"/>
      <c r="Q29" s="138"/>
    </row>
    <row r="30" customFormat="false" ht="35.05" hidden="false" customHeight="false" outlineLevel="1" collapsed="false">
      <c r="A30" s="133" t="s">
        <v>358</v>
      </c>
      <c r="B30" s="134" t="s">
        <v>359</v>
      </c>
      <c r="C30" s="134" t="s">
        <v>360</v>
      </c>
      <c r="D30" s="134" t="s">
        <v>361</v>
      </c>
      <c r="E30" s="134" t="s">
        <v>362</v>
      </c>
      <c r="F30" s="135" t="s">
        <v>49</v>
      </c>
      <c r="G30" s="136"/>
      <c r="H30" s="136"/>
      <c r="I30" s="136" t="s">
        <v>49</v>
      </c>
      <c r="J30" s="136"/>
      <c r="K30" s="136"/>
      <c r="L30" s="136" t="s">
        <v>49</v>
      </c>
      <c r="M30" s="136"/>
      <c r="N30" s="136"/>
      <c r="O30" s="137"/>
      <c r="Q30" s="138"/>
    </row>
    <row r="31" customFormat="false" ht="23.85" hidden="false" customHeight="false" outlineLevel="1" collapsed="false">
      <c r="A31" s="133" t="s">
        <v>363</v>
      </c>
      <c r="B31" s="134" t="s">
        <v>364</v>
      </c>
      <c r="C31" s="134" t="s">
        <v>365</v>
      </c>
      <c r="D31" s="134" t="s">
        <v>366</v>
      </c>
      <c r="E31" s="134" t="s">
        <v>367</v>
      </c>
      <c r="F31" s="135" t="s">
        <v>49</v>
      </c>
      <c r="G31" s="136"/>
      <c r="H31" s="136"/>
      <c r="I31" s="136" t="s">
        <v>49</v>
      </c>
      <c r="J31" s="136"/>
      <c r="K31" s="136"/>
      <c r="L31" s="136" t="s">
        <v>49</v>
      </c>
      <c r="M31" s="136"/>
      <c r="N31" s="136"/>
      <c r="O31" s="137"/>
      <c r="Q31" s="138"/>
    </row>
    <row r="32" customFormat="false" ht="35.05" hidden="false" customHeight="false" outlineLevel="1" collapsed="false">
      <c r="A32" s="133" t="s">
        <v>368</v>
      </c>
      <c r="B32" s="134" t="s">
        <v>369</v>
      </c>
      <c r="C32" s="134" t="s">
        <v>370</v>
      </c>
      <c r="D32" s="134" t="s">
        <v>371</v>
      </c>
      <c r="E32" s="134" t="s">
        <v>136</v>
      </c>
      <c r="F32" s="135" t="s">
        <v>49</v>
      </c>
      <c r="G32" s="136"/>
      <c r="H32" s="136"/>
      <c r="I32" s="136" t="s">
        <v>49</v>
      </c>
      <c r="J32" s="136"/>
      <c r="K32" s="136"/>
      <c r="L32" s="136" t="s">
        <v>49</v>
      </c>
      <c r="M32" s="136"/>
      <c r="N32" s="136"/>
      <c r="O32" s="137"/>
      <c r="Q32" s="138"/>
    </row>
    <row r="33" customFormat="false" ht="35.05" hidden="false" customHeight="false" outlineLevel="1" collapsed="false">
      <c r="A33" s="133" t="s">
        <v>372</v>
      </c>
      <c r="B33" s="134" t="s">
        <v>373</v>
      </c>
      <c r="C33" s="134" t="s">
        <v>374</v>
      </c>
      <c r="D33" s="134" t="s">
        <v>375</v>
      </c>
      <c r="E33" s="134" t="s">
        <v>376</v>
      </c>
      <c r="F33" s="135" t="s">
        <v>49</v>
      </c>
      <c r="G33" s="136"/>
      <c r="H33" s="136"/>
      <c r="I33" s="136" t="s">
        <v>49</v>
      </c>
      <c r="J33" s="136"/>
      <c r="K33" s="136"/>
      <c r="L33" s="136" t="s">
        <v>49</v>
      </c>
      <c r="M33" s="136"/>
      <c r="N33" s="136"/>
      <c r="O33" s="137"/>
      <c r="Q33" s="138"/>
    </row>
    <row r="34" customFormat="false" ht="35.05" hidden="false" customHeight="false" outlineLevel="1" collapsed="false">
      <c r="A34" s="133" t="s">
        <v>377</v>
      </c>
      <c r="B34" s="134" t="s">
        <v>378</v>
      </c>
      <c r="C34" s="134" t="s">
        <v>379</v>
      </c>
      <c r="D34" s="134" t="s">
        <v>380</v>
      </c>
      <c r="E34" s="134" t="s">
        <v>136</v>
      </c>
      <c r="F34" s="135" t="s">
        <v>49</v>
      </c>
      <c r="G34" s="136"/>
      <c r="H34" s="136"/>
      <c r="I34" s="136" t="s">
        <v>49</v>
      </c>
      <c r="J34" s="136"/>
      <c r="K34" s="136"/>
      <c r="L34" s="136" t="s">
        <v>49</v>
      </c>
      <c r="M34" s="136"/>
      <c r="N34" s="136"/>
      <c r="O34" s="137"/>
      <c r="Q34" s="138"/>
    </row>
    <row r="35" customFormat="false" ht="23.85" hidden="false" customHeight="false" outlineLevel="1" collapsed="false">
      <c r="A35" s="133" t="s">
        <v>381</v>
      </c>
      <c r="B35" s="134" t="s">
        <v>382</v>
      </c>
      <c r="C35" s="134" t="s">
        <v>383</v>
      </c>
      <c r="D35" s="134" t="s">
        <v>384</v>
      </c>
      <c r="E35" s="134" t="s">
        <v>385</v>
      </c>
      <c r="F35" s="135" t="s">
        <v>49</v>
      </c>
      <c r="G35" s="136"/>
      <c r="H35" s="136"/>
      <c r="I35" s="136" t="s">
        <v>49</v>
      </c>
      <c r="J35" s="136"/>
      <c r="K35" s="136"/>
      <c r="L35" s="136" t="s">
        <v>49</v>
      </c>
      <c r="M35" s="136"/>
      <c r="N35" s="136"/>
      <c r="O35" s="137"/>
      <c r="Q35" s="138"/>
    </row>
    <row r="36" customFormat="false" ht="35.05" hidden="false" customHeight="false" outlineLevel="1" collapsed="false">
      <c r="A36" s="133" t="s">
        <v>386</v>
      </c>
      <c r="B36" s="134" t="s">
        <v>172</v>
      </c>
      <c r="C36" s="134" t="s">
        <v>387</v>
      </c>
      <c r="D36" s="134" t="s">
        <v>388</v>
      </c>
      <c r="E36" s="134" t="s">
        <v>136</v>
      </c>
      <c r="F36" s="135" t="s">
        <v>49</v>
      </c>
      <c r="G36" s="136"/>
      <c r="H36" s="136"/>
      <c r="I36" s="136" t="s">
        <v>49</v>
      </c>
      <c r="J36" s="136"/>
      <c r="K36" s="136"/>
      <c r="L36" s="136" t="s">
        <v>49</v>
      </c>
      <c r="M36" s="136"/>
      <c r="N36" s="136"/>
      <c r="O36" s="137"/>
      <c r="Q36" s="138"/>
    </row>
    <row r="37" customFormat="false" ht="46.25" hidden="false" customHeight="false" outlineLevel="1" collapsed="false">
      <c r="A37" s="133" t="s">
        <v>389</v>
      </c>
      <c r="B37" s="134" t="s">
        <v>390</v>
      </c>
      <c r="C37" s="134" t="s">
        <v>391</v>
      </c>
      <c r="D37" s="134" t="s">
        <v>392</v>
      </c>
      <c r="E37" s="134" t="s">
        <v>136</v>
      </c>
      <c r="F37" s="135" t="s">
        <v>49</v>
      </c>
      <c r="G37" s="136"/>
      <c r="H37" s="136"/>
      <c r="I37" s="136" t="s">
        <v>49</v>
      </c>
      <c r="J37" s="136"/>
      <c r="K37" s="136"/>
      <c r="L37" s="136" t="s">
        <v>49</v>
      </c>
      <c r="M37" s="136"/>
      <c r="N37" s="136"/>
      <c r="O37" s="137"/>
      <c r="Q37" s="138"/>
    </row>
    <row r="38" customFormat="false" ht="46.25" hidden="false" customHeight="false" outlineLevel="1" collapsed="false">
      <c r="A38" s="133" t="s">
        <v>393</v>
      </c>
      <c r="B38" s="134" t="s">
        <v>394</v>
      </c>
      <c r="C38" s="134" t="s">
        <v>395</v>
      </c>
      <c r="D38" s="134" t="s">
        <v>396</v>
      </c>
      <c r="E38" s="134" t="s">
        <v>136</v>
      </c>
      <c r="F38" s="135" t="s">
        <v>49</v>
      </c>
      <c r="G38" s="136"/>
      <c r="H38" s="136"/>
      <c r="I38" s="136" t="s">
        <v>49</v>
      </c>
      <c r="J38" s="136"/>
      <c r="K38" s="136"/>
      <c r="L38" s="136" t="s">
        <v>49</v>
      </c>
      <c r="M38" s="136"/>
      <c r="N38" s="136"/>
      <c r="O38" s="137"/>
      <c r="Q38" s="138"/>
    </row>
    <row r="39" customFormat="false" ht="46.25" hidden="false" customHeight="false" outlineLevel="1" collapsed="false">
      <c r="A39" s="133" t="s">
        <v>397</v>
      </c>
      <c r="B39" s="134" t="s">
        <v>398</v>
      </c>
      <c r="C39" s="134" t="s">
        <v>399</v>
      </c>
      <c r="D39" s="134" t="s">
        <v>400</v>
      </c>
      <c r="E39" s="134" t="s">
        <v>136</v>
      </c>
      <c r="F39" s="135" t="s">
        <v>49</v>
      </c>
      <c r="G39" s="136"/>
      <c r="H39" s="136"/>
      <c r="I39" s="136" t="s">
        <v>49</v>
      </c>
      <c r="J39" s="136"/>
      <c r="K39" s="136"/>
      <c r="L39" s="136" t="s">
        <v>49</v>
      </c>
      <c r="M39" s="136"/>
      <c r="N39" s="136"/>
      <c r="O39" s="137"/>
      <c r="Q39" s="138"/>
    </row>
    <row r="40" customFormat="false" ht="46.25" hidden="false" customHeight="false" outlineLevel="1" collapsed="false">
      <c r="A40" s="133" t="s">
        <v>401</v>
      </c>
      <c r="B40" s="134" t="s">
        <v>402</v>
      </c>
      <c r="C40" s="134" t="s">
        <v>403</v>
      </c>
      <c r="D40" s="134" t="s">
        <v>404</v>
      </c>
      <c r="E40" s="134" t="s">
        <v>136</v>
      </c>
      <c r="F40" s="135" t="s">
        <v>49</v>
      </c>
      <c r="G40" s="136"/>
      <c r="H40" s="136"/>
      <c r="I40" s="136" t="s">
        <v>49</v>
      </c>
      <c r="J40" s="136"/>
      <c r="K40" s="136"/>
      <c r="L40" s="136" t="s">
        <v>49</v>
      </c>
      <c r="M40" s="136"/>
      <c r="N40" s="136"/>
      <c r="O40" s="137"/>
      <c r="Q40" s="138"/>
    </row>
    <row r="41" customFormat="false" ht="46.25" hidden="false" customHeight="false" outlineLevel="1" collapsed="false">
      <c r="A41" s="133" t="s">
        <v>405</v>
      </c>
      <c r="B41" s="134" t="s">
        <v>406</v>
      </c>
      <c r="C41" s="134" t="s">
        <v>407</v>
      </c>
      <c r="D41" s="134" t="s">
        <v>408</v>
      </c>
      <c r="E41" s="134" t="s">
        <v>136</v>
      </c>
      <c r="F41" s="135" t="s">
        <v>49</v>
      </c>
      <c r="G41" s="136"/>
      <c r="H41" s="136"/>
      <c r="I41" s="136" t="s">
        <v>49</v>
      </c>
      <c r="J41" s="136"/>
      <c r="K41" s="136"/>
      <c r="L41" s="136" t="s">
        <v>49</v>
      </c>
      <c r="M41" s="136"/>
      <c r="N41" s="136"/>
      <c r="O41" s="137"/>
      <c r="Q41" s="138"/>
    </row>
    <row r="42" s="111" customFormat="true" ht="15.75" hidden="false" customHeight="true" outlineLevel="0" collapsed="false">
      <c r="A42" s="128" t="s">
        <v>409</v>
      </c>
      <c r="B42" s="128"/>
      <c r="C42" s="129"/>
      <c r="D42" s="129"/>
      <c r="E42" s="129"/>
      <c r="F42" s="139"/>
      <c r="G42" s="139"/>
      <c r="H42" s="139"/>
      <c r="I42" s="139"/>
      <c r="J42" s="139"/>
      <c r="K42" s="139"/>
      <c r="L42" s="139"/>
      <c r="M42" s="139"/>
      <c r="N42" s="139"/>
      <c r="O42" s="140"/>
      <c r="Q42" s="132"/>
    </row>
    <row r="43" customFormat="false" ht="35.05" hidden="false" customHeight="false" outlineLevel="1" collapsed="false">
      <c r="A43" s="133" t="s">
        <v>410</v>
      </c>
      <c r="B43" s="134" t="s">
        <v>411</v>
      </c>
      <c r="C43" s="134" t="s">
        <v>412</v>
      </c>
      <c r="D43" s="134" t="s">
        <v>413</v>
      </c>
      <c r="E43" s="134" t="s">
        <v>414</v>
      </c>
      <c r="F43" s="135" t="s">
        <v>49</v>
      </c>
      <c r="G43" s="136"/>
      <c r="H43" s="136"/>
      <c r="I43" s="136" t="s">
        <v>49</v>
      </c>
      <c r="J43" s="136"/>
      <c r="K43" s="136"/>
      <c r="L43" s="136" t="s">
        <v>49</v>
      </c>
      <c r="M43" s="136"/>
      <c r="N43" s="136"/>
      <c r="O43" s="137"/>
      <c r="Q43" s="138"/>
    </row>
    <row r="44" customFormat="false" ht="46.25" hidden="false" customHeight="false" outlineLevel="1" collapsed="false">
      <c r="A44" s="133" t="s">
        <v>415</v>
      </c>
      <c r="B44" s="134" t="s">
        <v>416</v>
      </c>
      <c r="C44" s="134" t="s">
        <v>417</v>
      </c>
      <c r="D44" s="134" t="s">
        <v>418</v>
      </c>
      <c r="E44" s="134" t="s">
        <v>419</v>
      </c>
      <c r="F44" s="135" t="s">
        <v>49</v>
      </c>
      <c r="G44" s="136"/>
      <c r="H44" s="136"/>
      <c r="I44" s="136" t="s">
        <v>49</v>
      </c>
      <c r="J44" s="136"/>
      <c r="K44" s="136"/>
      <c r="L44" s="136" t="s">
        <v>49</v>
      </c>
      <c r="M44" s="136"/>
      <c r="N44" s="136"/>
      <c r="O44" s="137"/>
      <c r="Q44" s="138"/>
    </row>
    <row r="45" customFormat="false" ht="35.05" hidden="false" customHeight="false" outlineLevel="1" collapsed="false">
      <c r="A45" s="133" t="s">
        <v>420</v>
      </c>
      <c r="B45" s="134" t="s">
        <v>421</v>
      </c>
      <c r="C45" s="134" t="s">
        <v>422</v>
      </c>
      <c r="D45" s="134" t="s">
        <v>423</v>
      </c>
      <c r="E45" s="134" t="s">
        <v>424</v>
      </c>
      <c r="F45" s="135" t="s">
        <v>49</v>
      </c>
      <c r="G45" s="136"/>
      <c r="H45" s="136"/>
      <c r="I45" s="136" t="s">
        <v>49</v>
      </c>
      <c r="J45" s="136"/>
      <c r="K45" s="136"/>
      <c r="L45" s="136" t="s">
        <v>49</v>
      </c>
      <c r="M45" s="136"/>
      <c r="N45" s="136"/>
      <c r="O45" s="137"/>
      <c r="Q45" s="138"/>
    </row>
    <row r="46" customFormat="false" ht="35.05" hidden="false" customHeight="false" outlineLevel="1" collapsed="false">
      <c r="A46" s="133" t="s">
        <v>425</v>
      </c>
      <c r="B46" s="134" t="s">
        <v>426</v>
      </c>
      <c r="C46" s="134" t="s">
        <v>427</v>
      </c>
      <c r="D46" s="134" t="s">
        <v>428</v>
      </c>
      <c r="E46" s="134" t="s">
        <v>429</v>
      </c>
      <c r="F46" s="135" t="s">
        <v>49</v>
      </c>
      <c r="G46" s="136"/>
      <c r="H46" s="136"/>
      <c r="I46" s="136" t="s">
        <v>49</v>
      </c>
      <c r="J46" s="136"/>
      <c r="K46" s="136"/>
      <c r="L46" s="136" t="s">
        <v>49</v>
      </c>
      <c r="M46" s="136"/>
      <c r="N46" s="136"/>
      <c r="O46" s="137"/>
      <c r="Q46" s="138"/>
    </row>
    <row r="47" customFormat="false" ht="35.05" hidden="false" customHeight="false" outlineLevel="1" collapsed="false">
      <c r="A47" s="133" t="s">
        <v>430</v>
      </c>
      <c r="B47" s="134" t="s">
        <v>431</v>
      </c>
      <c r="C47" s="134" t="s">
        <v>432</v>
      </c>
      <c r="D47" s="134" t="s">
        <v>433</v>
      </c>
      <c r="E47" s="134" t="s">
        <v>434</v>
      </c>
      <c r="F47" s="135" t="s">
        <v>49</v>
      </c>
      <c r="G47" s="136"/>
      <c r="H47" s="136"/>
      <c r="I47" s="136" t="s">
        <v>49</v>
      </c>
      <c r="J47" s="136"/>
      <c r="K47" s="136"/>
      <c r="L47" s="136" t="s">
        <v>49</v>
      </c>
      <c r="M47" s="136"/>
      <c r="N47" s="136"/>
      <c r="O47" s="137"/>
      <c r="Q47" s="138"/>
    </row>
    <row r="48" s="111" customFormat="true" ht="15.75" hidden="false" customHeight="true" outlineLevel="0" collapsed="false">
      <c r="A48" s="128" t="s">
        <v>435</v>
      </c>
      <c r="B48" s="128"/>
      <c r="C48" s="129"/>
      <c r="D48" s="129"/>
      <c r="E48" s="129"/>
      <c r="F48" s="139"/>
      <c r="G48" s="139"/>
      <c r="H48" s="139"/>
      <c r="I48" s="139"/>
      <c r="J48" s="139"/>
      <c r="K48" s="139"/>
      <c r="L48" s="139"/>
      <c r="M48" s="139"/>
      <c r="N48" s="139"/>
      <c r="O48" s="140"/>
      <c r="Q48" s="132"/>
    </row>
    <row r="49" customFormat="false" ht="46.25" hidden="false" customHeight="false" outlineLevel="1" collapsed="false">
      <c r="A49" s="133" t="s">
        <v>436</v>
      </c>
      <c r="B49" s="134" t="s">
        <v>437</v>
      </c>
      <c r="C49" s="134" t="s">
        <v>438</v>
      </c>
      <c r="D49" s="134" t="s">
        <v>439</v>
      </c>
      <c r="E49" s="134" t="s">
        <v>440</v>
      </c>
      <c r="F49" s="135" t="s">
        <v>49</v>
      </c>
      <c r="G49" s="136"/>
      <c r="H49" s="136"/>
      <c r="I49" s="136" t="s">
        <v>49</v>
      </c>
      <c r="J49" s="136"/>
      <c r="K49" s="136"/>
      <c r="L49" s="136" t="s">
        <v>49</v>
      </c>
      <c r="M49" s="136"/>
      <c r="N49" s="136"/>
      <c r="O49" s="137"/>
      <c r="Q49" s="138"/>
    </row>
    <row r="50" customFormat="false" ht="46.25" hidden="false" customHeight="false" outlineLevel="0" collapsed="false">
      <c r="A50" s="133" t="s">
        <v>441</v>
      </c>
      <c r="B50" s="134" t="s">
        <v>442</v>
      </c>
      <c r="C50" s="134" t="s">
        <v>443</v>
      </c>
      <c r="D50" s="134" t="s">
        <v>444</v>
      </c>
      <c r="E50" s="134" t="s">
        <v>445</v>
      </c>
      <c r="F50" s="135" t="s">
        <v>49</v>
      </c>
      <c r="G50" s="136"/>
      <c r="H50" s="136"/>
      <c r="I50" s="136" t="s">
        <v>49</v>
      </c>
      <c r="J50" s="136"/>
      <c r="K50" s="136"/>
      <c r="L50" s="136" t="s">
        <v>49</v>
      </c>
      <c r="M50" s="136"/>
      <c r="N50" s="136"/>
      <c r="O50" s="137"/>
    </row>
    <row r="51" customFormat="false" ht="57.45" hidden="false" customHeight="false" outlineLevel="0" collapsed="false">
      <c r="A51" s="133" t="s">
        <v>446</v>
      </c>
      <c r="B51" s="134" t="s">
        <v>447</v>
      </c>
      <c r="C51" s="134" t="s">
        <v>448</v>
      </c>
      <c r="D51" s="134" t="s">
        <v>449</v>
      </c>
      <c r="E51" s="134" t="s">
        <v>445</v>
      </c>
      <c r="F51" s="135" t="s">
        <v>49</v>
      </c>
      <c r="G51" s="136"/>
      <c r="H51" s="136"/>
      <c r="I51" s="136" t="s">
        <v>49</v>
      </c>
      <c r="J51" s="136"/>
      <c r="K51" s="136"/>
      <c r="L51" s="136" t="s">
        <v>49</v>
      </c>
      <c r="M51" s="136"/>
      <c r="N51" s="136"/>
      <c r="O51" s="137"/>
    </row>
    <row r="52" customFormat="false" ht="46.25" hidden="false" customHeight="false" outlineLevel="0" collapsed="false">
      <c r="A52" s="133" t="s">
        <v>450</v>
      </c>
      <c r="B52" s="134" t="s">
        <v>451</v>
      </c>
      <c r="C52" s="134" t="s">
        <v>452</v>
      </c>
      <c r="D52" s="134" t="s">
        <v>453</v>
      </c>
      <c r="E52" s="134" t="s">
        <v>445</v>
      </c>
      <c r="F52" s="135" t="s">
        <v>49</v>
      </c>
      <c r="G52" s="136"/>
      <c r="H52" s="136"/>
      <c r="I52" s="136" t="s">
        <v>49</v>
      </c>
      <c r="J52" s="136"/>
      <c r="K52" s="136"/>
      <c r="L52" s="136" t="s">
        <v>49</v>
      </c>
      <c r="M52" s="136"/>
      <c r="N52" s="136"/>
      <c r="O52" s="137"/>
    </row>
    <row r="53" customFormat="false" ht="35.05" hidden="false" customHeight="false" outlineLevel="0" collapsed="false">
      <c r="A53" s="133" t="s">
        <v>454</v>
      </c>
      <c r="B53" s="134" t="s">
        <v>455</v>
      </c>
      <c r="C53" s="134" t="s">
        <v>456</v>
      </c>
      <c r="D53" s="134" t="s">
        <v>457</v>
      </c>
      <c r="E53" s="134" t="s">
        <v>458</v>
      </c>
      <c r="F53" s="135" t="s">
        <v>49</v>
      </c>
      <c r="G53" s="136"/>
      <c r="H53" s="136"/>
      <c r="I53" s="136" t="s">
        <v>49</v>
      </c>
      <c r="J53" s="136"/>
      <c r="K53" s="136"/>
      <c r="L53" s="136" t="s">
        <v>49</v>
      </c>
      <c r="M53" s="136"/>
      <c r="N53" s="136"/>
      <c r="O53" s="137"/>
    </row>
    <row r="54" s="111" customFormat="true" ht="15.75" hidden="false" customHeight="true" outlineLevel="0" collapsed="false">
      <c r="A54" s="128" t="s">
        <v>459</v>
      </c>
      <c r="B54" s="128"/>
      <c r="C54" s="129"/>
      <c r="D54" s="129"/>
      <c r="E54" s="129"/>
      <c r="F54" s="139"/>
      <c r="G54" s="139"/>
      <c r="H54" s="139"/>
      <c r="I54" s="139"/>
      <c r="J54" s="139"/>
      <c r="K54" s="139"/>
      <c r="L54" s="139"/>
      <c r="M54" s="139"/>
      <c r="N54" s="139"/>
      <c r="O54" s="140"/>
      <c r="Q54" s="132"/>
    </row>
    <row r="55" customFormat="false" ht="46.25" hidden="false" customHeight="false" outlineLevel="1" collapsed="false">
      <c r="A55" s="133" t="s">
        <v>460</v>
      </c>
      <c r="B55" s="134" t="s">
        <v>461</v>
      </c>
      <c r="C55" s="134" t="s">
        <v>462</v>
      </c>
      <c r="D55" s="134" t="s">
        <v>463</v>
      </c>
      <c r="E55" s="134" t="s">
        <v>464</v>
      </c>
      <c r="F55" s="135" t="s">
        <v>49</v>
      </c>
      <c r="G55" s="136"/>
      <c r="H55" s="136"/>
      <c r="I55" s="136" t="s">
        <v>49</v>
      </c>
      <c r="J55" s="136"/>
      <c r="K55" s="136"/>
      <c r="L55" s="136" t="s">
        <v>49</v>
      </c>
      <c r="M55" s="136"/>
      <c r="N55" s="136"/>
      <c r="O55" s="137"/>
      <c r="Q55" s="138"/>
    </row>
    <row r="56" customFormat="false" ht="35.05" hidden="false" customHeight="false" outlineLevel="0" collapsed="false">
      <c r="A56" s="133" t="s">
        <v>465</v>
      </c>
      <c r="B56" s="134" t="s">
        <v>466</v>
      </c>
      <c r="C56" s="134" t="s">
        <v>467</v>
      </c>
      <c r="D56" s="134" t="s">
        <v>348</v>
      </c>
      <c r="E56" s="134" t="s">
        <v>468</v>
      </c>
      <c r="F56" s="135" t="s">
        <v>49</v>
      </c>
      <c r="G56" s="136"/>
      <c r="H56" s="136"/>
      <c r="I56" s="136" t="s">
        <v>49</v>
      </c>
      <c r="J56" s="136"/>
      <c r="K56" s="136"/>
      <c r="L56" s="136" t="s">
        <v>49</v>
      </c>
      <c r="M56" s="136"/>
      <c r="N56" s="136"/>
      <c r="O56" s="137"/>
    </row>
    <row r="57" customFormat="false" ht="46.25" hidden="false" customHeight="false" outlineLevel="0" collapsed="false">
      <c r="A57" s="133" t="s">
        <v>469</v>
      </c>
      <c r="B57" s="134" t="s">
        <v>470</v>
      </c>
      <c r="C57" s="134" t="s">
        <v>471</v>
      </c>
      <c r="D57" s="134" t="s">
        <v>472</v>
      </c>
      <c r="E57" s="134" t="s">
        <v>473</v>
      </c>
      <c r="F57" s="135" t="s">
        <v>49</v>
      </c>
      <c r="G57" s="136"/>
      <c r="H57" s="136"/>
      <c r="I57" s="136" t="s">
        <v>49</v>
      </c>
      <c r="J57" s="136"/>
      <c r="K57" s="136"/>
      <c r="L57" s="136" t="s">
        <v>49</v>
      </c>
      <c r="M57" s="136"/>
      <c r="N57" s="136"/>
      <c r="O57" s="137"/>
    </row>
  </sheetData>
  <mergeCells count="3">
    <mergeCell ref="B2:E2"/>
    <mergeCell ref="B3:E3"/>
    <mergeCell ref="B4:E4"/>
  </mergeCells>
  <dataValidations count="2">
    <dataValidation allowBlank="true" errorStyle="stop" operator="between" showDropDown="false" showErrorMessage="true" showInputMessage="false" sqref="F10 I10 L10" type="none">
      <formula1>0</formula1>
      <formula2>0</formula2>
    </dataValidation>
    <dataValidation allowBlank="true" errorStyle="stop" operator="between" showDropDown="false" showErrorMessage="true" showInputMessage="false" sqref="G2:G3 J2:J3 M2:M3 G9 J9 M9 F12:F57 I12:I57 L12:L57 G58:G168 J58:J168 M58:M168" type="list">
      <formula1>$R$2:$R$5</formula1>
      <formula2>0</formula2>
    </dataValidation>
  </dataValidations>
  <printOptions headings="false" gridLines="false" gridLinesSet="true" horizontalCentered="false" verticalCentered="false"/>
  <pageMargins left="0.747916666666667" right="0.25" top="0.75" bottom="0.984027777777778" header="0.5" footer="0.5"/>
  <pageSetup paperSize="9" scale="100" fitToWidth="1" fitToHeight="1" pageOrder="downThenOver" orientation="landscape" blackAndWhite="false" draft="false" cellComments="none" horizontalDpi="300" verticalDpi="300" copies="1"/>
  <headerFooter differentFirst="false" differentOddEven="false">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1</TotalTime>
  <Application>LibreOffice/26.2.4.2$Linux_X86_64 LibreOffice_project/620$Build-2</Application>
  <AppVersion>15.0000</AppVersion>
  <Company>FSOFT</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BM</cp:category>
  <dcterms:created xsi:type="dcterms:W3CDTF">2020-03-17T17:34:29Z</dcterms:created>
  <dc:creator>Kien Nguyen</dc:creator>
  <dc:description>Updates sheet Cover: Add logo, document code, creator, reviewer/approver._x005F_x000d_
Add sheet Test Case List._x005F_x000d_
Change Sheet Company, User, Provider to Modules. Add column Inter-test case dependent. Update these sheets._x005F_x000d_
Update Test Report</dc:description>
  <dc:language>en-US</dc:language>
  <cp:lastModifiedBy/>
  <cp:lastPrinted>2010-11-12T10:33:20Z</cp:lastPrinted>
  <dcterms:modified xsi:type="dcterms:W3CDTF">2026-07-09T14:57:02Z</dcterms:modified>
  <cp:revision>2</cp:revision>
  <dc:subject>v1/0</dc:subject>
  <dc:title>Test case</dc:title>
</cp:coreProperties>
</file>

<file path=docProps/custom.xml><?xml version="1.0" encoding="utf-8"?>
<Properties xmlns="http://schemas.openxmlformats.org/officeDocument/2006/custom-properties" xmlns:vt="http://schemas.openxmlformats.org/officeDocument/2006/docPropsVTypes"/>
</file>