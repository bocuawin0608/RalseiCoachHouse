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ameo\OneDrive\Máy tính\SWP391\nhaXe-project\nhaxetuanmv\documents\"/>
    </mc:Choice>
  </mc:AlternateContent>
  <bookViews>
    <workbookView xWindow="0" yWindow="0" windowWidth="23040" windowHeight="9108" tabRatio="821" activeTab="3"/>
  </bookViews>
  <sheets>
    <sheet name="Cover" sheetId="9" r:id="rId1"/>
    <sheet name="Test Cases" sheetId="2" r:id="rId2"/>
    <sheet name="Test Statistics" sheetId="5" r:id="rId3"/>
    <sheet name="Coach Management" sheetId="3" r:id="rId4"/>
    <sheet name="Coach Type Management" sheetId="11" r:id="rId5"/>
  </sheets>
  <definedNames>
    <definedName name="_xlnm._FilterDatabase" localSheetId="3" hidden="1">'Coach Management'!$A$10:$O$36</definedName>
    <definedName name="_xlnm._FilterDatabase" localSheetId="4" hidden="1">'Coach Type Management'!$A$10:$O$42</definedName>
    <definedName name="ACTION" localSheetId="4">#REF!</definedName>
    <definedName name="ACTION" localSheetId="0">#REF!</definedName>
    <definedName name="ACTION">#REF!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5" l="1"/>
  <c r="E8" i="11"/>
  <c r="D8" i="11"/>
  <c r="C8" i="11"/>
  <c r="B8" i="11"/>
  <c r="E7" i="11"/>
  <c r="D7" i="11"/>
  <c r="C7" i="11"/>
  <c r="B7" i="11"/>
  <c r="E6" i="11"/>
  <c r="G12" i="5" s="1"/>
  <c r="D6" i="11"/>
  <c r="F12" i="5" s="1"/>
  <c r="C6" i="11"/>
  <c r="E12" i="5" s="1"/>
  <c r="B6" i="11"/>
  <c r="D12" i="5" s="1"/>
  <c r="B4" i="11"/>
  <c r="H12" i="5" s="1"/>
  <c r="B4" i="3" l="1"/>
  <c r="H3" i="5"/>
  <c r="H5" i="5"/>
  <c r="C4" i="5"/>
  <c r="C3" i="5"/>
  <c r="C11" i="5"/>
  <c r="D4" i="2"/>
  <c r="D3" i="2"/>
  <c r="B6" i="9"/>
  <c r="C7" i="3" l="1"/>
  <c r="D7" i="3"/>
  <c r="E7" i="3"/>
  <c r="C8" i="3"/>
  <c r="D8" i="3"/>
  <c r="E8" i="3"/>
  <c r="B8" i="3"/>
  <c r="B7" i="3"/>
  <c r="C6" i="3"/>
  <c r="E11" i="5" s="1"/>
  <c r="D6" i="3"/>
  <c r="F11" i="5" s="1"/>
  <c r="E6" i="3"/>
  <c r="G11" i="5" s="1"/>
  <c r="B6" i="3"/>
  <c r="D11" i="5" s="1"/>
  <c r="C5" i="5" l="1"/>
  <c r="H11" i="5" l="1"/>
  <c r="D14" i="5"/>
  <c r="E14" i="5"/>
  <c r="H14" i="5" l="1"/>
  <c r="F14" i="5" l="1"/>
  <c r="G14" i="5"/>
  <c r="E16" i="5" s="1"/>
  <c r="E17" i="5" l="1"/>
</calcChain>
</file>

<file path=xl/comments1.xml><?xml version="1.0" encoding="utf-8"?>
<comments xmlns="http://schemas.openxmlformats.org/spreadsheetml/2006/main">
  <authors>
    <author/>
  </authors>
  <commentList>
    <comment ref="D10" authorId="0" shapeId="0">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authors>
    <author>tqsang</author>
  </authors>
  <commentList>
    <comment ref="E10" authorId="0" shapeId="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authors>
    <author>tqsang</author>
  </authors>
  <commentList>
    <comment ref="E10" authorId="0" shapeId="0">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<sst xmlns="http://schemas.openxmlformats.org/spreadsheetml/2006/main" count="872" uniqueCount="473">
  <si>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</si>
  <si>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</si>
  <si>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</si>
  <si>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</si>
  <si>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</si>
  <si>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</si>
  <si>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</si>
  <si>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</si>
  <si>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</si>
  <si>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</si>
  <si>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</si>
  <si>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</si>
  <si>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</si>
  <si>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</si>
  <si>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</si>
  <si>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No</t>
  </si>
  <si>
    <t>Function Name</t>
  </si>
  <si>
    <t>Sheet Name</t>
  </si>
  <si>
    <t>Description</t>
  </si>
  <si>
    <t>Pre-Condition</t>
  </si>
  <si>
    <t>Function C</t>
  </si>
  <si>
    <t>Function D</t>
  </si>
  <si>
    <t>Function E</t>
  </si>
  <si>
    <t>Test requirement</t>
  </si>
  <si>
    <t>&lt;Brief description about requirements which are tested in this sheet&gt;</t>
  </si>
  <si>
    <t>Tester</t>
  </si>
  <si>
    <t>N/A</t>
  </si>
  <si>
    <t>Test Case Description</t>
  </si>
  <si>
    <t>Test date</t>
  </si>
  <si>
    <t>Note</t>
  </si>
  <si>
    <t>Notes</t>
  </si>
  <si>
    <t>&lt;List modules included in this release&gt; ex: Release 1 includes 2 modules: Module1 and Module2</t>
  </si>
  <si>
    <t>Module code</t>
  </si>
  <si>
    <t>Number of  test cases</t>
  </si>
  <si>
    <t>Sub total</t>
  </si>
  <si>
    <t>Test coverage</t>
  </si>
  <si>
    <t>%</t>
  </si>
  <si>
    <t>Test successful coverage</t>
  </si>
  <si>
    <t>Expected Results</t>
  </si>
  <si>
    <t>Test Case Procedure</t>
  </si>
  <si>
    <t>Pending</t>
  </si>
  <si>
    <t>Passed</t>
  </si>
  <si>
    <t>Failed</t>
  </si>
  <si>
    <t>Testing Round</t>
  </si>
  <si>
    <t>Round 1</t>
  </si>
  <si>
    <t>Pre-conditions</t>
  </si>
  <si>
    <t>Round 2</t>
  </si>
  <si>
    <t>Round 3</t>
  </si>
  <si>
    <t>Test Case ID</t>
  </si>
  <si>
    <t>Number of TCs</t>
  </si>
  <si>
    <t>TEST STATISTICS</t>
  </si>
  <si>
    <t>&lt;List of documents which are refered in this version.&gt;</t>
  </si>
  <si>
    <t>SYSTEM TEST REPORT DOCUMENT</t>
  </si>
  <si>
    <t>Workflow</t>
  </si>
  <si>
    <t>Workflow Name1</t>
  </si>
  <si>
    <t>Workflow Name2</t>
  </si>
  <si>
    <t>Ralsei Coach House System</t>
  </si>
  <si>
    <t>RCHS</t>
  </si>
  <si>
    <t>Doan Ngoc Duc, Le Thu Ha, Thanh, Trung</t>
  </si>
  <si>
    <t>1.0.0</t>
  </si>
  <si>
    <t>Coach Management</t>
  </si>
  <si>
    <t>&lt;1/6/2026&gt;</t>
  </si>
  <si>
    <t>&lt;12/07/2026&gt;</t>
  </si>
  <si>
    <t>A</t>
  </si>
  <si>
    <t>All sheets</t>
  </si>
  <si>
    <t>Initial addition.</t>
  </si>
  <si>
    <t>&lt;List enviroment requires in this system
1. Backend Server: https://localhost:9090 (Spring Boot)
2. Database: SQL Server (seed data applied)
3. Redis: Start Redis container on Docker Desktop
4. Frontend Staff Portal: Vite React at http://localhost:3000
5. Frontend Customer Portal: Vite React at https://localhost:2999
6. Web Browser: Any modern browser applicable
7. Payment Gateway (Sepay): Requires an ngrok tunnel pointing to port 9090 for Webhook integration
8. Email Service: Configured via terminal session environment variables (requires Gmail SMTP &amp; App Password)
9. Firebase Integration: Credentials and configurations managed locally via 'application-dev' profile and .env
10. Map &amp; Routing Service (Goong API): API keys and endpoints managed locally via 'application-dev' profile
&gt;</t>
  </si>
  <si>
    <t>1. User is logged into the Staff Portal with a Manager role.
2. For testing coach creation/updating: At least one active Coach Type must exist in the system (to select vehicle configuration/seat capacity).
3. For testing detail view, updates, seat layout management, and status changes: At least one coach record must already exist in the database.</t>
  </si>
  <si>
    <t>Test coach management functionalities, including: adding new coaches, viewing and searching the coach list, viewing coach details, updating coach information, managing seat layouts, and changing coach status (Maintenance / Active / Inactive).</t>
  </si>
  <si>
    <t>COACH-TC01</t>
  </si>
  <si>
    <t>COACH-TC02</t>
  </si>
  <si>
    <t>COACH-TC03</t>
  </si>
  <si>
    <t>Scenario A: Create Coach</t>
  </si>
  <si>
    <t>Display validation error message.</t>
  </si>
  <si>
    <t>COACH-TC04</t>
  </si>
  <si>
    <t>COACH-TC05</t>
  </si>
  <si>
    <t>Duplicate license plate already existing in the system</t>
  </si>
  <si>
    <t>Backend returns an error: "This license plate already exists."</t>
  </si>
  <si>
    <t>COACH-TC06</t>
  </si>
  <si>
    <t>Manufacture year exceeds the current year</t>
  </si>
  <si>
    <t>COACH-TC07</t>
  </si>
  <si>
    <t>Manufacture year is less than 2000</t>
  </si>
  <si>
    <t>COACH-TC08</t>
  </si>
  <si>
    <t>Empty manufacturer field</t>
  </si>
  <si>
    <t>Scenario B: View List and Filter</t>
  </si>
  <si>
    <t>COACH-TC09</t>
  </si>
  <si>
    <t>View default coach list</t>
  </si>
  <si>
    <t>1. Access the Coach List page.</t>
  </si>
  <si>
    <t>COACH-TC10</t>
  </si>
  <si>
    <t>Filter by license plate (with leading/trailing spaces)</t>
  </si>
  <si>
    <t>COACH-TC11</t>
  </si>
  <si>
    <t>Filter by MAINTENANCE status</t>
  </si>
  <si>
    <t>COACH-TC12</t>
  </si>
  <si>
    <t>Reset all filters</t>
  </si>
  <si>
    <t>COACH-TC13</t>
  </si>
  <si>
    <t>View coach details</t>
  </si>
  <si>
    <t>COACH-TC14</t>
  </si>
  <si>
    <t>COACH-TC15</t>
  </si>
  <si>
    <t>Update license plate — auto format on blur</t>
  </si>
  <si>
    <t>COACH-TC16</t>
  </si>
  <si>
    <t>Display validation error for invalid license plate format.</t>
  </si>
  <si>
    <t>COACH-TC17</t>
  </si>
  <si>
    <t>Scenario C: View Details and Update Coach Info</t>
  </si>
  <si>
    <t>Scenario D: Manage Seat Layout</t>
  </si>
  <si>
    <t>COACH-TC18</t>
  </si>
  <si>
    <t>The input automatically converts to uppercase ("LX01"). Maximum allowed length is 4 characters.</t>
  </si>
  <si>
    <t>COACH-TC19</t>
  </si>
  <si>
    <t>COACH-TC20</t>
  </si>
  <si>
    <t>Change seat code exceeding 4 characters</t>
  </si>
  <si>
    <t>1. Type "ABCD1" into the seat code field.</t>
  </si>
  <si>
    <t>The input field truncates or restricts typing beyond 4 characters.</t>
  </si>
  <si>
    <t>COACH-TC21</t>
  </si>
  <si>
    <t>Duplicate seat code within the same coach</t>
  </si>
  <si>
    <t>COACH-TC22</t>
  </si>
  <si>
    <t>Toggle active/inactive seat status</t>
  </si>
  <si>
    <t>The seat status updates to unavailable for future trip creation.</t>
  </si>
  <si>
    <t>COACH-TC23</t>
  </si>
  <si>
    <t>Coach status successfully changes to MAINTENANCE.</t>
  </si>
  <si>
    <t>COACH-TC24</t>
  </si>
  <si>
    <t>COACH-TC25</t>
  </si>
  <si>
    <t>COACH-TC26</t>
  </si>
  <si>
    <t>Return coach to active service</t>
  </si>
  <si>
    <t>Coach status changes back to ACTIVE.</t>
  </si>
  <si>
    <t>COACH-TC27</t>
  </si>
  <si>
    <t>Deactivate a coach that has active/scheduled trips</t>
  </si>
  <si>
    <t>COACH-TC28</t>
  </si>
  <si>
    <t>Coach status changes to RETIRED. No further operational actions are available for this coach.</t>
  </si>
  <si>
    <t>Coach Type Management</t>
  </si>
  <si>
    <t>Test coach type management functionalities, including: creating new coach types with seat layout configuration, listing and filtering types, viewing and updating type details (name, active status), managing price timelines with date constraints, and deactivating types with business-rule guards.</t>
  </si>
  <si>
    <t>1. User is logged into the Staff Portal with a Manager role. 
2. For testing detail view, update, seat map, and price management: At least one coach type record must already exist in the database.</t>
  </si>
  <si>
    <t>Scenario A: Create Coach Type</t>
  </si>
  <si>
    <t>CTYPE-TC01</t>
  </si>
  <si>
    <t>CTYPE-TC02</t>
  </si>
  <si>
    <t>Backend returns an error: "Tên loại xe đã tồn tại trong hệ thống!". Toast notification appears at top-right corner.</t>
  </si>
  <si>
    <t>Duplicate coach type name — exact case-insensitive match</t>
  </si>
  <si>
    <t>CTYPE-TC03</t>
  </si>
  <si>
    <t>1. Same as CTYPE-TC02.</t>
  </si>
  <si>
    <t>Duplicate name with leading/trailing spaces — trim must be applied</t>
  </si>
  <si>
    <t>CTYPE-TC04</t>
  </si>
  <si>
    <t>1. User is logged in as Manager.</t>
  </si>
  <si>
    <t>Name with only whitespace characters</t>
  </si>
  <si>
    <t>CTYPE-TC05</t>
  </si>
  <si>
    <t>Name exceeds 100 characters</t>
  </si>
  <si>
    <t>CTYPE-TC06</t>
  </si>
  <si>
    <t>Seat layout with zero SEAT cells (all marked as empty space)</t>
  </si>
  <si>
    <t>CTYPE-TC07</t>
  </si>
  <si>
    <t>Toast notification appears fixed at the top-right corner of the viewport — visible regardless of scroll position.</t>
  </si>
  <si>
    <t>Error Toast is visible when user is scrolled down to seat map area</t>
  </si>
  <si>
    <t>1. Navigate to Coach Types → click "+ Add New Coach Type". 
2. Enter name "Limousine VIP 22 Seats", price "500000", configure 2 floors × 5 rows × 2 cols, leave at least 1 SEAT cell. 
3. Click "Save &amp; Activate".</t>
  </si>
  <si>
    <t>1. Open the Create page. 
2. Enter name "limousine vip 22 seats" (all lowercase). 
3. Click "Save &amp; Activate".</t>
  </si>
  <si>
    <t>1. User is logged in as Manager. 
2. A coach type named "Limousine VIP 22 Seats" already exists.</t>
  </si>
  <si>
    <t>1. Enter " Limousine VIP 22 Seats " (spaces on both sides). 
2. Click "Save &amp; Activate".</t>
  </si>
  <si>
    <t>1. Enter " " (spaces only) into the name field. 
2. Click "Save &amp; Activate".</t>
  </si>
  <si>
    <t>1. Paste a 101-character string into the name field. 
2. Click "Save &amp; Activate".</t>
  </si>
  <si>
    <t>The coach type is created successfully. System redirects to the list; the new type appears with correct name, price, and seat count.</t>
  </si>
  <si>
    <t>Successful creation with valid data</t>
  </si>
  <si>
    <t>Backend detects the duplicate after trimming. Toast shows the duplicate error. The trimmed value is confirmed in the API payload.</t>
  </si>
  <si>
    <t>Frontend detects blank name after trim. Toast shows "Tên loại xe không được để trống." No API call is made.</t>
  </si>
  <si>
    <t>The maxLength={100} attribute prevents typing beyond 100 characters. If bypassed via direct API: backend returns fieldErrors.coachTypeName with the size-exceeded message.</t>
  </si>
  <si>
    <t>Coach type is created successfully. The detail page shows "---" for current price (no active price entry yet).</t>
  </si>
  <si>
    <t>Default price = 0 (boundary — allowed by @PositiveOrZero)</t>
  </si>
  <si>
    <t>The min="0" attribute on the price input prevents the negative value from being submitted. The field rejects values below 0.</t>
  </si>
  <si>
    <t>Default price is negative — blocked by FE</t>
  </si>
  <si>
    <t>CTYPE-TC08</t>
  </si>
  <si>
    <t>1. Send a direct API request with seatPrice: -1.</t>
  </si>
  <si>
    <t>Backend @PositiveOrZero fires. Response contains fieldErrors.seatPrice = "Giá tiền không được nhỏ hơn 0."</t>
  </si>
  <si>
    <t>Default price is negative — bypassed to BE</t>
  </si>
  <si>
    <t>CTYPE-TC09</t>
  </si>
  <si>
    <t>The max="100000000" attribute prevents submission. FE blocks the out-of-range value.</t>
  </si>
  <si>
    <t>Default price exceeds 100,000,000 — blocked by FE</t>
  </si>
  <si>
    <t>CTYPE-TC10</t>
  </si>
  <si>
    <t>1. Send a direct API request with seatPrice: 200000000.</t>
  </si>
  <si>
    <t>Backend @DecimalMax(100000000) fires. Response contains fieldErrors.seatPrice = "Giá tiền không được vượt quá 100.000.000 đ."</t>
  </si>
  <si>
    <t>Default price exceeds 100,000,000 — bypassed to BE</t>
  </si>
  <si>
    <t>CTYPE-TC11</t>
  </si>
  <si>
    <t>Price field left empty — required field</t>
  </si>
  <si>
    <t>CTYPE-TC12</t>
  </si>
  <si>
    <t>Coach type is created with 1 total seat. Seat map displays a single-cell layout.</t>
  </si>
  <si>
    <t>Dimension inputs at minimum boundaries (1 floor × 1 row × 1 col)</t>
  </si>
  <si>
    <t>CTYPE-TC13</t>
  </si>
  <si>
    <t>Dimension inputs at maximum boundaries (2 floors × 11 rows × 5 cols)</t>
  </si>
  <si>
    <t>CTYPE-TC14</t>
  </si>
  <si>
    <t>Frontend detects empty dimension. Toast shows "Vui lòng nhập đầy đủ số tầng, số hàng và số cột!" No API call is made.</t>
  </si>
  <si>
    <t>Missing a required dimension field (rows left blank)</t>
  </si>
  <si>
    <t>CTYPE-TC15</t>
  </si>
  <si>
    <t>Frontend blocks: Toast shows "Vui lòng giữ lại ít nhất 1 vị trí ghế ngồi trên sơ đồ!"</t>
  </si>
  <si>
    <t>CTYPE-TC16</t>
  </si>
  <si>
    <t>1. Enter a valid name. 
2. Enter price = "0". 
3. Configure a valid seat layout. 
4. Click "Save &amp; Activate".</t>
  </si>
  <si>
    <t>1. Enter a valid name. 
2. Enter price = "-100". 
3. Click "Save &amp; Activate".</t>
  </si>
  <si>
    <t>1. Enter price = "200000000" (200 million). 
2. Click "Save &amp; Activate".</t>
  </si>
  <si>
    <t>1. Enter a valid name, leave the price field blank. 
2. Click "Save &amp; Activate".</t>
  </si>
  <si>
    <t>"required" attribute prevents HTML form submission. If bypassed to BE: fieldErrors.seatPrice = "Giá tiền không được để trống."</t>
  </si>
  <si>
    <t>1. Set totalFloors = 1, rows = 1, cols = 1. 
2. Leave the 1 cell as SEAT. 
3. Enter valid name and price. 
4. Click "Save &amp; Activate".</t>
  </si>
  <si>
    <t>1. Set totalFloors = 2, rows = 11, cols = 5. 
2. Leave all cells as SEAT. 
3. Enter valid name and price. 
4. Click "Save &amp; Activate".</t>
  </si>
  <si>
    <t>Toast shows "Số ghế không thể &lt;1 hoặc &gt;44 ghế".</t>
  </si>
  <si>
    <t>1. Clear the "rows" input to empty. 
2. Click "Save &amp; Activate".</t>
  </si>
  <si>
    <t>1. Enter valid name and price. 
2. Click all cells to toggle them to "empty". 
3. Click "Save &amp; Activate".</t>
  </si>
  <si>
    <t>1. Enter a duplicate name and valid price/layout. 
2. Scroll fully down to the seat map section. 
3. Click "Save &amp; Activate".</t>
  </si>
  <si>
    <t>CTYPE-TC17</t>
  </si>
  <si>
    <t>View default coach type list</t>
  </si>
  <si>
    <t>1. Navigate to the Coach Types list page.</t>
  </si>
  <si>
    <t>The list loads with pagination, defaulting to showing active types. Current price and seat count are displayed per row.</t>
  </si>
  <si>
    <t>CTYPE-TC18</t>
  </si>
  <si>
    <t>Filter by name with leading/trailing spaces</t>
  </si>
  <si>
    <t>1. Enter " Limousine " (with surrounding spaces) into the name filter field.</t>
  </si>
  <si>
    <t>The frontend trims the value before sending to the API. The correct coach type "Limousine" is returned in results.</t>
  </si>
  <si>
    <t>CTYPE-TC19</t>
  </si>
  <si>
    <t>Filter by valid price range</t>
  </si>
  <si>
    <t>1. Enter Min Price = "100000" and Max Price = "600000".</t>
  </si>
  <si>
    <t>Only coach types whose current price falls within [100,000 – 600,000] VND are shown.</t>
  </si>
  <si>
    <t>CTYPE-TC20</t>
  </si>
  <si>
    <t>Filter by price range where minPrice &gt; maxPrice</t>
  </si>
  <si>
    <t>1. Enter Min Price = "500000" and Max Price = "100000".</t>
  </si>
  <si>
    <t>Backend returns error: "Giá tối thiểu không thể lớn hơn Giá tối đa!". Error is displayed in the Alert block above the table.</t>
  </si>
  <si>
    <t>CTYPE-TC21</t>
  </si>
  <si>
    <t>Filter by valid seat range</t>
  </si>
  <si>
    <t>1. Enter Min Seats = "10" and Max Seats = "40".</t>
  </si>
  <si>
    <t>Only coach types whose totalSeat falls within [10, 40] are returned.</t>
  </si>
  <si>
    <t>CTYPE-TC22</t>
  </si>
  <si>
    <t>Filter where minSeats &gt; maxSeats</t>
  </si>
  <si>
    <t>1. Enter Min Seats = "40" and Max Seats = "10".</t>
  </si>
  <si>
    <t>Backend returns error: "Số ghế tối thiểu không thể lớn hơn Số ghế tối đa!". Error displayed in the Alert block above the table.</t>
  </si>
  <si>
    <t>CTYPE-TC23</t>
  </si>
  <si>
    <t>Filter by inactive status</t>
  </si>
  <si>
    <t>1. Select "Inactive" from the active status filter.</t>
  </si>
  <si>
    <t>Only deactivated coach types are displayed in the list.</t>
  </si>
  <si>
    <t>CTYPE-TC24</t>
  </si>
  <si>
    <t>1. Apply several filter values. 2. Click the "Reset" button.</t>
  </si>
  <si>
    <t>All filter fields clear to defaults (isActive = true, name empty, price/seat ranges empty). The full active list reloads.</t>
  </si>
  <si>
    <t>CTYPE-TC25</t>
  </si>
  <si>
    <t>Filter with negative minPrice — bypassed to BE</t>
  </si>
  <si>
    <t>1. Send API request with minPrice: -1.</t>
  </si>
  <si>
    <t>Backend @PositiveOrZero fires. Response contains fieldErrors.minPrice = "Giá thấp nhất phải lớn hơn hoặc bằng 0." Displayed in field-error list inside the Alert.</t>
  </si>
  <si>
    <t>CTYPE-TC26</t>
  </si>
  <si>
    <t>Filter with maxPrice exceeding 100,000,000 — bypassed to BE</t>
  </si>
  <si>
    <t>1. Send API request with maxPrice: 200000000.</t>
  </si>
  <si>
    <t>Backend @DecimalMax(100000000) fires. Response contains fieldErrors.maxPrice = "Giá cao nhất không được vượt quá 100.000.000 đ." Displayed in field-error list inside the Alert.</t>
  </si>
  <si>
    <t>CTYPE-TC27</t>
  </si>
  <si>
    <t>Filter with negative minSeats — bypassed to BE</t>
  </si>
  <si>
    <t>1. Send API request with minSeats: -1.</t>
  </si>
  <si>
    <t>Backend @PositiveOrZero fires. Response contains fieldErrors.minSeats = "Số ghế tối thiểu không được nhỏ hơn 0." Displayed in field-error list inside the Alert.</t>
  </si>
  <si>
    <t>CTYPE-TC28</t>
  </si>
  <si>
    <t>Filter with maxSeats exceeding 200 — bypassed to BE</t>
  </si>
  <si>
    <t>1. Send API request with maxSeats: 999.</t>
  </si>
  <si>
    <t>Backend @Max(200) fires. Response contains fieldErrors.maxSeats = "Số ghế tối đa không được vượt quá 200." Displayed in field-error list inside the Alert.</t>
  </si>
  <si>
    <t>CTYPE-TC29</t>
  </si>
  <si>
    <t>Filter with name exceeding 100 characters — bypassed to BE</t>
  </si>
  <si>
    <t>1. Send API request with coachTypeName = 101-character string.</t>
  </si>
  <si>
    <t>Backend @Size(max=100) fires. Response contains fieldErrors.coachTypeName = "Tên sơ đồ tìm kiếm không được vượt quá 100 ký tự." Displayed in field-error list inside the Alert.</t>
  </si>
  <si>
    <t>1. User is logged in as Manager. 
2. At least one coach type exists.</t>
  </si>
  <si>
    <t>1. User is logged in as Manager. 
2. A coach type named "Limousine" exists.</t>
  </si>
  <si>
    <t>1. User is logged in as Manager. 
2. Coach types with various prices exist.</t>
  </si>
  <si>
    <t>1. User is logged in as Manager. 
2. At least one inactive coach type exists.</t>
  </si>
  <si>
    <t>1. User is logged in as Manager. 
2. Coach types with various seat counts exist.</t>
  </si>
  <si>
    <t>Scenario C: View Details and Update Coach Type Info</t>
  </si>
  <si>
    <t>CTYPE-TC30</t>
  </si>
  <si>
    <t>Update name with valid value</t>
  </si>
  <si>
    <t>Name updated successfully. Page refreshes and displays the new name.</t>
  </si>
  <si>
    <t>CTYPE-TC31</t>
  </si>
  <si>
    <t>Update name with whitespace-only value</t>
  </si>
  <si>
    <t>Frontend trims and detects blank. Toast shows "Tên loại xe không được để trống." No API call is made.</t>
  </si>
  <si>
    <t>1. Same as CTYPE-TC30.</t>
  </si>
  <si>
    <t>CTYPE-TC32</t>
  </si>
  <si>
    <t>Update name to one that already exists in the system</t>
  </si>
  <si>
    <t>Backend returns error: "Tên loại xe đã tồn tại trong hệ thống!". Toast appears at top-right of screen.</t>
  </si>
  <si>
    <t>CTYPE-TC33</t>
  </si>
  <si>
    <t>Deactivate a coach type that still has active coaches assigned</t>
  </si>
  <si>
    <t>A deactivation-blocked dialog appears listing the active coaches preventing deactivation. The type remains active.</t>
  </si>
  <si>
    <t>CTYPE-TC34</t>
  </si>
  <si>
    <t>Deactivate a coach type with no active coaches</t>
  </si>
  <si>
    <t>The type is deactivated. Badge changes to "Ngừng hoạt động".</t>
  </si>
  <si>
    <t>1. User is logged in as Manager. 
2. On the Coach Type Detail page → Info tab.</t>
  </si>
  <si>
    <t>1. Same as CTYPE-TC30. 
2. Another coach type with the target name already exists.</t>
  </si>
  <si>
    <t>1. User is logged in as Manager. 
2. The coach type has at least one active coach using it.</t>
  </si>
  <si>
    <t>1. User is logged in as Manager. 
2. The coach type has no active coaches.</t>
  </si>
  <si>
    <t>1. Click "Edit". 
2. Change the name to "Sleeper Bus 34 Seats". 
3. Click "Save".</t>
  </si>
  <si>
    <t>1. Click "Edit". 
2. Clear the name field and enter " " (spaces only). 
3. Click "Save".</t>
  </si>
  <si>
    <t>1. Click "Edit". 
2. Enter the existing name of another type. 
3. Click "Save".</t>
  </si>
  <si>
    <t>1. Click "Edit". 
2. Toggle the active switch to OFF. 
3. Click "Save".</t>
  </si>
  <si>
    <t>1. Click "Edit". 
2. Toggle active switch to OFF. 
3. Click "Save".</t>
  </si>
  <si>
    <t>Scenario D: Manage Price Timeline</t>
  </si>
  <si>
    <t>CTYPE-TC35</t>
  </si>
  <si>
    <t>Add price entry with valid future start date and no end date</t>
  </si>
  <si>
    <t>CTYPE-TC36</t>
  </si>
  <si>
    <t>Add price with valid start and end date (end &gt; start)</t>
  </si>
  <si>
    <t>1. Same as CTYPE-TC35.</t>
  </si>
  <si>
    <t>CTYPE-TC37</t>
  </si>
  <si>
    <t>Add price with start date more than 5 minutes in the past — bypassed to BE</t>
  </si>
  <si>
    <t>CTYPE-TC39</t>
  </si>
  <si>
    <t>FE blocks: end date before start date</t>
  </si>
  <si>
    <t>CTYPE-TC40</t>
  </si>
  <si>
    <t>Add overlapping price range — blocked by service</t>
  </si>
  <si>
    <t>Price entry is created. New entry appears in the timeline with status "UPCOMING".</t>
  </si>
  <si>
    <t>Price entry is created with both dates. Entry appears in the timeline with status "UPCOMING".</t>
  </si>
  <si>
    <t>Backend @AssertTrue isStartEffectiveDateValid fires. Response contains fieldErrors.startEffectiveDateValid = "Ngày bắt đầu hiệu lực không được ở quá khứ." Toast shows field-level error.</t>
  </si>
  <si>
    <t>Frontend detects endDate &lt; startDate. Toast shows "Ngày kết thúc hiệu lực phải sau ngày bắt đầu!" No API call is made.</t>
  </si>
  <si>
    <t>Service detects overlap. Returns an error message explaining the conflict. Toast displays the message.</t>
  </si>
  <si>
    <t>1. User is logged in as Manager. 
2. On Detail page → Prices tab.</t>
  </si>
  <si>
    <t>1. Same as CTYPE-TC35.0
2. An ACTIVE price entry covering a date range already exists.</t>
  </si>
  <si>
    <t>1. Enter a new price with start/end dates that overlap the existing ACTIVE range. 
2. Click "Add Price".</t>
  </si>
  <si>
    <t>1. Enter start = "2026-08-10T10:00". 
2. Enter end = "2026-08-01T10:00" (earlier than start). 
3. Click "Add Price".</t>
  </si>
  <si>
    <t>1. Bypass the FE min attribute (DevTools or direct API). 
2. Set start date = 2 hours ago. 
3. Click "Add Price".</t>
  </si>
  <si>
    <t>1. Enter price = "600000". 
2. Set start date = tomorrow at 08:00. 
3. Leave end date blank. 
4. Click "Add Price".</t>
  </si>
  <si>
    <t>1. Enter price = "400000". 
2. Set start = "2026-09-01T08:00", end = "2026-12-31T23:59". 
3. Click "Add Price".</t>
  </si>
  <si>
    <t>Scenario E: Manage Seat Map</t>
  </si>
  <si>
    <t>CTYPE-TC41</t>
  </si>
  <si>
    <t>Update seat map successfully</t>
  </si>
  <si>
    <t>Seat map updated. Summary shows new dimensions and total seat count.</t>
  </si>
  <si>
    <t>CTYPE-TC42</t>
  </si>
  <si>
    <t>Save seat map with zero SEAT cells</t>
  </si>
  <si>
    <t>1. Same as CTYPE-TC41.</t>
  </si>
  <si>
    <t>CTYPE-TC43</t>
  </si>
  <si>
    <t>Seat map edit is disabled for types already in production use</t>
  </si>
  <si>
    <t>1. Navigate to the Seat Map tab.</t>
  </si>
  <si>
    <t>The "Edit Seat Map" button is disabled (grayed out). Hovering shows a Tooltip: "Không thể sửa sơ đồ vì loại xe này đã được đưa vào sử dụng thực tế."</t>
  </si>
  <si>
    <t>1. User is logged in as Manager. 
2. On Detail page → Seat Map tab. 
3. canEditSeatLayout = true (no coaches assigned to this type yet).</t>
  </si>
  <si>
    <t>1. User is logged in as Manager. 
2. The coach type is assigned to at least one active coach.</t>
  </si>
  <si>
    <t>1. Click "Edit Seat Map". 
2. Adjust rows = 6, cols = 3. 
3. Toggle one cell to "empty". 
4. Click "Save".</t>
  </si>
  <si>
    <t>1. Click "Edit Seat Map". 
2. Toggle all cells to empty. 
3. Click "Save".</t>
  </si>
  <si>
    <t>Successful coach creation with all valid data</t>
  </si>
  <si>
    <t>1. Open the "Add New Coach" modal. 2. Enter license plate "73B-555.22", manufacturer "Thaco", year "2023". 3. Select a valid coach type. 4. Click "Save".</t>
  </si>
  <si>
    <t>The coach is successfully created. System redirects to the list; the new coach appears.</t>
  </si>
  <si>
    <t>1. User is logged in as Manager. 2. At least one active Coach Type must exist.</t>
  </si>
  <si>
    <t>License plate with invalid format — province code starts with 0</t>
  </si>
  <si>
    <t>1. Enter license plate "01B-1234". 2. Click "Save".</t>
  </si>
  <si>
    <t>Display error: "License plate format is invalid..."</t>
  </si>
  <si>
    <t>Same as COACH-TC01.</t>
  </si>
  <si>
    <t>License plate with invalid format — missing serial or digits</t>
  </si>
  <si>
    <t>1. Enter license plate "73B-12". 2. Click "Save".</t>
  </si>
  <si>
    <t>License plate auto-format on blur</t>
  </si>
  <si>
    <t>1. Enter "73b55522" into the license plate field. 2. Click outside the field (blur).</t>
  </si>
  <si>
    <t>The field automatically formats to uppercase with proper separators: "73B-555.22".</t>
  </si>
  <si>
    <t>License plate with leading/trailing spaces — trim applied</t>
  </si>
  <si>
    <t>1. Enter " 73B-555.22 " (spaces on both sides). 2. Click "Save".</t>
  </si>
  <si>
    <t>Frontend trims the value before validation and submission. The coach is created with plate "73B-555.22".</t>
  </si>
  <si>
    <t>1. Enter a license plate that already exists in the database. 2. Click "Save".</t>
  </si>
  <si>
    <t>Same as COACH-TC01. 2. A coach with the target plate already exists.</t>
  </si>
  <si>
    <t>1. Enter year "2030". 2. Click "Save".</t>
  </si>
  <si>
    <t>Display error: "Manufacture year cannot be greater than the current year."</t>
  </si>
  <si>
    <t>1. Enter year "1999". 2. Click "Save".</t>
  </si>
  <si>
    <t>Display error: "Manufacture year must be 2000 or later."</t>
  </si>
  <si>
    <t>Manufacture year equals current year (valid upper boundary)</t>
  </si>
  <si>
    <t>1. Enter year = current year (e.g., "2026"). 2. Click "Save".</t>
  </si>
  <si>
    <t>No validation error. The coach is created successfully.</t>
  </si>
  <si>
    <t>Manufacture year equals 2000 (valid lower boundary)</t>
  </si>
  <si>
    <t>1. Enter year "2000". 2. Click "Save".</t>
  </si>
  <si>
    <t>Manufacture year field left empty</t>
  </si>
  <si>
    <t>1. Leave the year field blank. 2. Click "Save".</t>
  </si>
  <si>
    <t>Display validation error: "Manufacture year cannot be left empty."</t>
  </si>
  <si>
    <t>1. Leave the manufacturer field blank. 2. Click "Save".</t>
  </si>
  <si>
    <t>Display error: "Manufacturer cannot be left empty."</t>
  </si>
  <si>
    <t>Manufacturer with whitespace only — trim applied</t>
  </si>
  <si>
    <t>1. Enter " " (spaces only) into the manufacturer field. 2. Click "Save".</t>
  </si>
  <si>
    <t>After trim the field is detected as blank. Display error: "Manufacturer cannot be left empty."</t>
  </si>
  <si>
    <t>Manufacturer exceeds 100 characters — bypassed to BE</t>
  </si>
  <si>
    <t>1. Send a direct API request with manufacturer = 101-character string.</t>
  </si>
  <si>
    <t>Backend @Size(max=100) fires. Response contains fieldErrors.manufacturer = "Hãng xe không được vượt quá 100 ký tự."</t>
  </si>
  <si>
    <t>No coach type selected — required field</t>
  </si>
  <si>
    <t>1. Open "Add New Coach" modal. 2. Fill all other fields with valid data but leave the coach type dropdown unselected. 3. Click "Save".</t>
  </si>
  <si>
    <t>Form submission is blocked. Display error: "Coach type is required." (FE guard or BE @NotNull on coachTypeId).</t>
  </si>
  <si>
    <t>The list is displayed with pagination, defaulting to filter by "ACTIVE" status.</t>
  </si>
  <si>
    <t>User is logged in as Manager.</t>
  </si>
  <si>
    <t>1. Enter " 73B " (with spaces) into the license plate filter.</t>
  </si>
  <si>
    <t>The system trims spaces and correctly displays coaches matching "73B".</t>
  </si>
  <si>
    <t>Filter by route name</t>
  </si>
  <si>
    <t>1. Enter a partial or full route name (e.g., "Hà Nội") into the route name filter.</t>
  </si>
  <si>
    <t>Only coaches operating on routes matching "Hà Nội" are displayed.</t>
  </si>
  <si>
    <t>User is logged in as Manager. At least one coach assigned to a route exists.</t>
  </si>
  <si>
    <t>Filter by route name with leading/trailing spaces — trim applied</t>
  </si>
  <si>
    <t>1. Enter " Hà Nội " (with spaces) into the route name filter.</t>
  </si>
  <si>
    <t>The system trims spaces and returns coaches matching "Hà Nội".</t>
  </si>
  <si>
    <t>Same as COACH-TC18.</t>
  </si>
  <si>
    <t>1. Select "MAINTENANCE" from the status filter.</t>
  </si>
  <si>
    <t>Only coaches with MAINTENANCE status are displayed.</t>
  </si>
  <si>
    <t>Filter by multiple statuses simultaneously</t>
  </si>
  <si>
    <t>1. Select both "ACTIVE" and "MAINTENANCE" from the status filter.</t>
  </si>
  <si>
    <t>Coaches with either ACTIVE or MAINTENANCE status are displayed.</t>
  </si>
  <si>
    <t>User is logged in as Manager. Coaches with ACTIVE and MAINTENANCE status both exist.</t>
  </si>
  <si>
    <t>1. Select "RETIRED" from the status filter.</t>
  </si>
  <si>
    <t>Only coaches with RETIRED status are displayed.</t>
  </si>
  <si>
    <t>User is logged in as Manager. At least one retired coach exists.</t>
  </si>
  <si>
    <t>1. Apply several filter values. 2. Click the "Reset Filters" button.</t>
  </si>
  <si>
    <t>Filters return to default values: ACTIVE status selected, all search inputs cleared.</t>
  </si>
  <si>
    <t>Filter by RETIRED status</t>
  </si>
  <si>
    <t>1. Click "Manage" to open a coach from the list.</t>
  </si>
  <si>
    <t>Complete details displayed: license plate, manufacturer, year, coach type, seat layout, and status history.</t>
  </si>
  <si>
    <t>1. User is logged in as Manager. 2. At least one coach exists.</t>
  </si>
  <si>
    <t>Update with valid license plate</t>
  </si>
  <si>
    <t>1. Click "Edit". 2. Change license plate to "29A-1234". 3. Click "Save".</t>
  </si>
  <si>
    <t>Update successful. The new license plate is displayed.</t>
  </si>
  <si>
    <t>1. User is logged in as Manager. 2. Must be on Detail Page.</t>
  </si>
  <si>
    <t>1. Click "Edit". 2. Enter "29a1234" into the license plate field. 3. Click outside the field (blur).</t>
  </si>
  <si>
    <t>The input automatically formats to "29A-1234".</t>
  </si>
  <si>
    <t>Same as COACH-TC25.</t>
  </si>
  <si>
    <t>Update with invalid license plate — province code = 09</t>
  </si>
  <si>
    <t>1. Click "Edit". 2. Enter "09B-1234". 3. Click "Save".</t>
  </si>
  <si>
    <t>Update manufacturer with whitespace only</t>
  </si>
  <si>
    <t>1. Click "Edit". 2. Enter " " (spaces) into the manufacturer field. 3. Click "Save".</t>
  </si>
  <si>
    <t>COACH-TC29</t>
  </si>
  <si>
    <t>Update manufacturer exceeds 100 characters — bypassed to BE</t>
  </si>
  <si>
    <t>COACH-TC30</t>
  </si>
  <si>
    <t>Update manufacture year with valid value</t>
  </si>
  <si>
    <t>1. Click "Edit". 2. Change year to "2022". 3. Click "Save".</t>
  </si>
  <si>
    <t>Update successful. New year is displayed on the detail page.</t>
  </si>
  <si>
    <t>COACH-TC31</t>
  </si>
  <si>
    <t>Update manufacture year exceeds current year</t>
  </si>
  <si>
    <t>1. Click "Edit". 2. Enter year "2030". 3. Click "Save".</t>
  </si>
  <si>
    <t>COACH-TC32</t>
  </si>
  <si>
    <t>Update manufacture year below 2000</t>
  </si>
  <si>
    <t>1. Click "Edit". 2. Enter year "1995". 3. Click "Save".</t>
  </si>
  <si>
    <t>COACH-TC33</t>
  </si>
  <si>
    <t>Update manufacture year field left empty</t>
  </si>
  <si>
    <t>1. Click "Edit". 2. Clear the year field to blank. 3. Click "Save".</t>
  </si>
  <si>
    <t>COACH-TC34</t>
  </si>
  <si>
    <t>Change seat code to valid name — auto uppercase</t>
  </si>
  <si>
    <t>1. Enter "EDIT-SEAT" mode. 2. Type "lx01" into a seat code field.</t>
  </si>
  <si>
    <t>1. User is logged in as Manager. 2. At least one coach exists. 3. Must be on Detail Page.</t>
  </si>
  <si>
    <t>COACH-TC35</t>
  </si>
  <si>
    <t>Seat code with leading/trailing spaces — trim applied</t>
  </si>
  <si>
    <t>1. Enter " A01 " (spaces on both sides) into a seat code field. 2. Click "Save Seat Layout".</t>
  </si>
  <si>
    <t>Frontend trims the value to "A01" before validation. The code is saved without spaces.</t>
  </si>
  <si>
    <t>Same as COACH-TC34.</t>
  </si>
  <si>
    <t>COACH-TC36</t>
  </si>
  <si>
    <t>Change seat code to invalid format — numbers only</t>
  </si>
  <si>
    <t>1. Enter "01" (missing prefix letters). 2. Click "Save Seat Layout".</t>
  </si>
  <si>
    <t>Display error: "Seat code must consist of 1-2 letters followed by 2 digits."</t>
  </si>
  <si>
    <t>COACH-TC37</t>
  </si>
  <si>
    <t>COACH-TC38</t>
  </si>
  <si>
    <t>1. Set two different seats to the same code "A01". 2. Click "Save Seat Layout".</t>
  </si>
  <si>
    <t>Display error: "Duplicate seat codes are not allowed within the same coach."</t>
  </si>
  <si>
    <t>COACH-TC39</t>
  </si>
  <si>
    <t>1. Click an active seat (green) to turn it inactive (red). 2. Click "Save Layout".</t>
  </si>
  <si>
    <t>Scenario E: Manage Coach Status</t>
  </si>
  <si>
    <t>COACH-TC40</t>
  </si>
  <si>
    <t>Report maintenance with valid data — no expected end date</t>
  </si>
  <si>
    <t>1. Click "Report Maintenance". 2. Enter a reason (e.g., "Engine overhaul"). 3. Leave "Expected End Date" blank. 4. Click "Confirm".</t>
  </si>
  <si>
    <t>1. User is logged in as Manager. 2. Must be on Detail Page. 3. Coach status is ACTIVE.</t>
  </si>
  <si>
    <t>COACH-TC41</t>
  </si>
  <si>
    <t>Report maintenance with valid data — with expected end date</t>
  </si>
  <si>
    <t>1. Click "Report Maintenance". 2. Enter a reason. 3. Set "Expected End Date" to a future datetime. 4. Click "Confirm".</t>
  </si>
  <si>
    <t>Coach status changes to MAINTENANCE. The expected end date is recorded and displayed.</t>
  </si>
  <si>
    <t>Same as COACH-TC40.</t>
  </si>
  <si>
    <t>COACH-TC42</t>
  </si>
  <si>
    <t>Report maintenance — reason field empty</t>
  </si>
  <si>
    <t>1. Click "Report Maintenance". 2. Leave the reason field blank. 3. Click "Confirm".</t>
  </si>
  <si>
    <t>Display validation error: "Maintenance reason cannot be left empty." No status change occurs.</t>
  </si>
  <si>
    <t>COACH-TC43</t>
  </si>
  <si>
    <t>Report maintenance — reason field whitespace only</t>
  </si>
  <si>
    <t>1. Click "Report Maintenance". 2. Enter " " (spaces only) into the reason field. 3. Click "Confirm".</t>
  </si>
  <si>
    <t>After trim the reason is blank. Display error: "Maintenance reason cannot be left empty."</t>
  </si>
  <si>
    <t>COACH-TC44</t>
  </si>
  <si>
    <t>Report maintenance — reason exceeds 500 characters</t>
  </si>
  <si>
    <t>1. Enter a 501-character string into the reason field. 2. Click "Confirm".</t>
  </si>
  <si>
    <t>Backend @Size(max=500) fires. Response contains fieldErrors.reason = "Lý do không được vượt quá 500 ký tự."</t>
  </si>
  <si>
    <t>COACH-TC45</t>
  </si>
  <si>
    <t>Report maintenance — FE blocks past datetime in picker</t>
  </si>
  <si>
    <t>1. Open the maintenance modal. 2. Check the datetime picker restrictions.</t>
  </si>
  <si>
    <t>The min selectable attribute of the datetime field equals the current date and time. Past values cannot be selected.</t>
  </si>
  <si>
    <t>COACH-TC46</t>
  </si>
  <si>
    <t>Report maintenance — expectedEndAt in the past — bypassed to BE</t>
  </si>
  <si>
    <t>1. Bypass the FE min attribute (DevTools or direct API). 2. Send expectedEndAt = a past datetime.</t>
  </si>
  <si>
    <t>Backend @AssertTrue isExpectedEndAtValid fires. Response contains fieldErrors.expectedEndAtValid = "Thời gian dự kiến hoàn thành phải ở tương lai."</t>
  </si>
  <si>
    <t>COACH-TC47</t>
  </si>
  <si>
    <t>1. Click "Set Active". 2. Click "Confirm".</t>
  </si>
  <si>
    <t>1. User is logged in as Manager. 2. Must be on Detail Page. 3. Coach status is MAINTENANCE.</t>
  </si>
  <si>
    <t>COACH-TC48</t>
  </si>
  <si>
    <t>1. Click "Deactivate/Retire". 2. Click "Confirm".</t>
  </si>
  <si>
    <t>Display error: "Cannot deactivate a coach with active or scheduled trips."</t>
  </si>
  <si>
    <t>1. User is logged in as Manager. 2. Must be on Detail Page. 3. Coach status is ACTIVE or MAINTENANCE. 4. Coach is assigned to at least one SCHEDULED trip.</t>
  </si>
  <si>
    <t>COACH-TC49</t>
  </si>
  <si>
    <t>Deactivate a valid coach with no trips</t>
  </si>
  <si>
    <t>1. Click "Deactivate/Retire". 2. Enter a reason. 3. Click "Confirm".</t>
  </si>
  <si>
    <t>Same pre-conditions as COACH-TC48, but with no scheduled trips assigned.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</si>
</sst>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mm\-yy;@"/>
  </numFmts>
  <fonts count="26">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
      <sz val="10"/>
      <name val="Arial"/>
      <family val="2"/>
    </font>
    <font>
      <b/>
      <sz val="10"/>
      <name val="Arial"/>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7">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8"/>
      </left>
      <right/>
      <top/>
      <bottom/>
      <diagonal/>
    </border>
    <border>
      <left style="hair">
        <color indexed="8"/>
      </left>
      <right style="hair">
        <color indexed="64"/>
      </right>
      <top style="hair">
        <color indexed="8"/>
      </top>
      <bottom style="hair">
        <color indexed="8"/>
      </bottom>
      <diagonal/>
    </border>
    <border>
      <left/>
      <right style="thin">
        <color indexed="8"/>
      </right>
      <top style="hair">
        <color indexed="8"/>
      </top>
      <bottom style="hair">
        <color indexed="8"/>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48">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7" xfId="0" applyFont="1" applyFill="1" applyBorder="1" applyAlignment="1">
      <alignment horizontal="left" vertical="center"/>
    </xf>
    <xf numFmtId="1" fontId="2" fillId="2" borderId="9" xfId="0" applyNumberFormat="1" applyFont="1" applyFill="1" applyBorder="1" applyAlignment="1">
      <alignment vertical="center"/>
    </xf>
    <xf numFmtId="49" fontId="2" fillId="2" borderId="10" xfId="0" applyNumberFormat="1" applyFont="1" applyFill="1" applyBorder="1" applyAlignment="1">
      <alignment horizontal="left" vertical="center"/>
    </xf>
    <xf numFmtId="0" fontId="2" fillId="2" borderId="10" xfId="0" applyFont="1" applyFill="1" applyBorder="1" applyAlignment="1">
      <alignment horizontal="left" vertical="center"/>
    </xf>
    <xf numFmtId="0" fontId="2" fillId="2" borderId="11" xfId="0" applyFont="1" applyFill="1" applyBorder="1" applyAlignment="1">
      <alignment horizontal="left" vertical="center"/>
    </xf>
    <xf numFmtId="0" fontId="13" fillId="2" borderId="0" xfId="0" applyFont="1" applyFill="1"/>
    <xf numFmtId="0" fontId="13" fillId="2" borderId="0" xfId="0" applyFont="1" applyFill="1" applyAlignment="1">
      <alignment wrapText="1"/>
    </xf>
    <xf numFmtId="0" fontId="14" fillId="2" borderId="0" xfId="0" applyFont="1" applyFill="1"/>
    <xf numFmtId="0" fontId="2" fillId="2" borderId="0" xfId="0" applyFont="1" applyFill="1" applyAlignment="1">
      <alignment horizontal="center" wrapText="1"/>
    </xf>
    <xf numFmtId="0" fontId="13" fillId="2" borderId="0" xfId="0" applyFont="1" applyFill="1" applyAlignment="1">
      <alignment horizontal="center" wrapText="1"/>
    </xf>
    <xf numFmtId="0" fontId="14" fillId="2" borderId="0" xfId="0" applyFont="1" applyFill="1" applyAlignment="1">
      <alignment horizontal="center" wrapText="1"/>
    </xf>
    <xf numFmtId="0" fontId="9" fillId="2" borderId="0" xfId="3" applyFont="1" applyFill="1" applyAlignment="1">
      <alignment horizontal="center" vertical="center" wrapText="1"/>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Alignment="1">
      <alignment horizontal="left" vertical="center"/>
    </xf>
    <xf numFmtId="0" fontId="13" fillId="2" borderId="0" xfId="0" applyFont="1" applyFill="1" applyAlignment="1">
      <alignment vertical="top" wrapText="1"/>
    </xf>
    <xf numFmtId="0" fontId="10" fillId="2" borderId="0" xfId="2" applyFont="1" applyFill="1"/>
    <xf numFmtId="0" fontId="2" fillId="2" borderId="0" xfId="2" applyFont="1" applyFill="1"/>
    <xf numFmtId="164" fontId="2" fillId="2" borderId="0" xfId="2" applyNumberFormat="1" applyFont="1" applyFill="1"/>
    <xf numFmtId="0" fontId="5" fillId="2" borderId="1" xfId="0" applyFont="1" applyFill="1" applyBorder="1" applyAlignment="1">
      <alignment vertical="center"/>
    </xf>
    <xf numFmtId="0" fontId="5" fillId="2" borderId="0" xfId="0" applyFont="1" applyFill="1"/>
    <xf numFmtId="0" fontId="6" fillId="2" borderId="0" xfId="2" applyFont="1" applyFill="1"/>
    <xf numFmtId="0" fontId="2" fillId="2" borderId="15" xfId="0" applyFont="1" applyFill="1" applyBorder="1"/>
    <xf numFmtId="0" fontId="2" fillId="2" borderId="0" xfId="0" applyFont="1" applyFill="1" applyAlignment="1">
      <alignment horizontal="center"/>
    </xf>
    <xf numFmtId="10" fontId="2" fillId="2" borderId="0" xfId="0" applyNumberFormat="1" applyFont="1" applyFill="1" applyAlignment="1">
      <alignment horizontal="center"/>
    </xf>
    <xf numFmtId="9" fontId="2" fillId="2" borderId="0" xfId="0" applyNumberFormat="1" applyFont="1" applyFill="1" applyAlignment="1">
      <alignment horizontal="center"/>
    </xf>
    <xf numFmtId="0" fontId="5" fillId="2" borderId="0" xfId="0" applyFont="1" applyFill="1" applyAlignment="1">
      <alignment horizontal="left"/>
    </xf>
    <xf numFmtId="2" fontId="16" fillId="2" borderId="0" xfId="0" applyNumberFormat="1" applyFont="1" applyFill="1" applyAlignment="1">
      <alignment horizontal="right" wrapText="1"/>
    </xf>
    <xf numFmtId="0" fontId="6" fillId="2" borderId="0" xfId="3" applyFont="1" applyFill="1" applyAlignment="1">
      <alignment horizontal="left" wrapText="1"/>
    </xf>
    <xf numFmtId="0" fontId="8" fillId="2" borderId="0" xfId="0" applyFont="1" applyFill="1" applyAlignment="1">
      <alignment horizontal="center" vertical="center" wrapText="1"/>
    </xf>
    <xf numFmtId="0" fontId="14" fillId="2" borderId="0" xfId="0" applyFont="1" applyFill="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6" fillId="2" borderId="0" xfId="3" applyFont="1" applyFill="1" applyAlignment="1">
      <alignment wrapText="1"/>
    </xf>
    <xf numFmtId="0" fontId="7" fillId="6" borderId="25" xfId="3" applyFont="1" applyFill="1" applyBorder="1" applyAlignment="1">
      <alignment horizontal="center" vertical="center" wrapText="1"/>
    </xf>
    <xf numFmtId="0" fontId="18" fillId="2" borderId="25" xfId="3" applyFont="1" applyFill="1" applyBorder="1" applyAlignment="1">
      <alignment horizontal="center" vertical="top" wrapText="1"/>
    </xf>
    <xf numFmtId="0" fontId="2" fillId="2" borderId="25" xfId="3" applyFont="1" applyFill="1" applyBorder="1" applyAlignment="1">
      <alignment horizontal="center" vertical="top" wrapText="1"/>
    </xf>
    <xf numFmtId="0" fontId="18" fillId="2" borderId="29"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2"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0" xfId="3" applyFont="1" applyFill="1" applyBorder="1" applyAlignment="1">
      <alignment horizontal="center" vertical="top" wrapText="1"/>
    </xf>
    <xf numFmtId="0" fontId="10" fillId="2" borderId="26" xfId="3" applyFont="1" applyFill="1" applyBorder="1" applyAlignment="1">
      <alignment horizontal="center" vertical="top" wrapText="1"/>
    </xf>
    <xf numFmtId="0" fontId="10" fillId="2" borderId="29" xfId="3" applyFont="1" applyFill="1" applyBorder="1" applyAlignment="1">
      <alignment horizontal="center" vertical="top" wrapText="1"/>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 fillId="0" borderId="0" xfId="5" applyFont="1" applyAlignment="1">
      <alignment vertical="top"/>
    </xf>
    <xf numFmtId="0" fontId="2" fillId="0" borderId="0" xfId="5" applyFont="1" applyAlignment="1">
      <alignment horizontal="left" indent="1"/>
    </xf>
    <xf numFmtId="14" fontId="21" fillId="0" borderId="2" xfId="5" applyNumberFormat="1" applyFont="1" applyBorder="1"/>
    <xf numFmtId="0" fontId="21" fillId="0" borderId="6" xfId="5" applyFont="1" applyBorder="1" applyAlignment="1">
      <alignment horizontal="center" vertical="center" wrapText="1"/>
    </xf>
    <xf numFmtId="49" fontId="2" fillId="0" borderId="7" xfId="5" applyNumberFormat="1" applyFont="1" applyBorder="1" applyAlignment="1">
      <alignment horizontal="center" vertical="center"/>
    </xf>
    <xf numFmtId="0" fontId="2" fillId="0" borderId="7" xfId="5" applyFont="1" applyBorder="1" applyAlignment="1">
      <alignment horizontal="center" vertical="center"/>
    </xf>
    <xf numFmtId="164" fontId="2" fillId="0" borderId="6" xfId="5" applyNumberFormat="1" applyFont="1" applyBorder="1" applyAlignment="1">
      <alignment horizontal="center" vertical="center"/>
    </xf>
    <xf numFmtId="164" fontId="2" fillId="0" borderId="9" xfId="5" applyNumberFormat="1" applyFont="1" applyBorder="1" applyAlignment="1">
      <alignment horizontal="center" vertical="center"/>
    </xf>
    <xf numFmtId="49" fontId="2" fillId="0" borderId="10" xfId="5" applyNumberFormat="1" applyFont="1" applyBorder="1" applyAlignment="1">
      <alignment horizontal="center" vertical="center"/>
    </xf>
    <xf numFmtId="0" fontId="2" fillId="0" borderId="10" xfId="5" applyFont="1" applyBorder="1" applyAlignment="1">
      <alignment horizontal="center" vertical="center"/>
    </xf>
    <xf numFmtId="15" fontId="2" fillId="0" borderId="7" xfId="5" applyNumberFormat="1" applyFont="1" applyBorder="1" applyAlignment="1">
      <alignment horizontal="center" vertical="center"/>
    </xf>
    <xf numFmtId="0" fontId="21" fillId="0" borderId="8" xfId="5" applyFont="1" applyBorder="1" applyAlignment="1">
      <alignment horizontal="center" vertical="center" wrapText="1"/>
    </xf>
    <xf numFmtId="0" fontId="2" fillId="0" borderId="8" xfId="5" applyFont="1" applyBorder="1" applyAlignment="1">
      <alignment horizontal="center" vertical="center"/>
    </xf>
    <xf numFmtId="0" fontId="2" fillId="0" borderId="11" xfId="5" applyFont="1" applyBorder="1" applyAlignment="1">
      <alignment horizontal="center" vertical="center"/>
    </xf>
    <xf numFmtId="0" fontId="2" fillId="2" borderId="7" xfId="0" applyFont="1" applyFill="1" applyBorder="1" applyAlignment="1">
      <alignment horizontal="center" vertical="center"/>
    </xf>
    <xf numFmtId="0" fontId="5" fillId="2" borderId="2" xfId="0" applyFont="1" applyFill="1" applyBorder="1" applyAlignment="1">
      <alignment horizontal="left" vertical="center"/>
    </xf>
    <xf numFmtId="0" fontId="6" fillId="2" borderId="1" xfId="0" applyFont="1" applyFill="1" applyBorder="1" applyAlignment="1">
      <alignment vertical="center"/>
    </xf>
    <xf numFmtId="0" fontId="2" fillId="2" borderId="2" xfId="0" applyFont="1" applyFill="1" applyBorder="1" applyAlignment="1">
      <alignment vertical="center"/>
    </xf>
    <xf numFmtId="14" fontId="6" fillId="2" borderId="2" xfId="0" applyNumberFormat="1" applyFont="1" applyFill="1" applyBorder="1" applyAlignment="1">
      <alignment vertical="center"/>
    </xf>
    <xf numFmtId="0" fontId="7" fillId="3" borderId="16" xfId="0" applyFont="1" applyFill="1" applyBorder="1" applyAlignment="1">
      <alignment horizontal="center" vertical="center"/>
    </xf>
    <xf numFmtId="0" fontId="7" fillId="3" borderId="4" xfId="0" applyFont="1" applyFill="1" applyBorder="1" applyAlignment="1">
      <alignment horizontal="center" vertical="center"/>
    </xf>
    <xf numFmtId="0" fontId="7" fillId="3" borderId="4" xfId="0" applyFont="1" applyFill="1" applyBorder="1" applyAlignment="1">
      <alignment horizontal="center" vertical="center" wrapText="1"/>
    </xf>
    <xf numFmtId="0" fontId="7" fillId="3" borderId="12" xfId="0" applyFont="1" applyFill="1" applyBorder="1" applyAlignment="1">
      <alignment horizontal="center" vertical="center"/>
    </xf>
    <xf numFmtId="0" fontId="7" fillId="3" borderId="17" xfId="0" applyFont="1" applyFill="1" applyBorder="1" applyAlignment="1">
      <alignment horizontal="center" vertical="center" wrapText="1"/>
    </xf>
    <xf numFmtId="0" fontId="2" fillId="2" borderId="18" xfId="0" applyFont="1" applyFill="1" applyBorder="1" applyAlignment="1">
      <alignment horizontal="center" vertical="center"/>
    </xf>
    <xf numFmtId="0" fontId="2" fillId="2" borderId="7" xfId="0" applyFont="1" applyFill="1" applyBorder="1" applyAlignment="1">
      <alignment vertical="center"/>
    </xf>
    <xf numFmtId="0" fontId="2" fillId="2" borderId="20" xfId="0" applyFont="1" applyFill="1" applyBorder="1" applyAlignment="1">
      <alignment horizontal="center" vertical="center"/>
    </xf>
    <xf numFmtId="0" fontId="2" fillId="2" borderId="19" xfId="0" applyFont="1" applyFill="1" applyBorder="1" applyAlignment="1">
      <alignment horizontal="center" vertical="center"/>
    </xf>
    <xf numFmtId="0" fontId="15" fillId="3" borderId="21" xfId="0" applyFont="1" applyFill="1" applyBorder="1" applyAlignment="1">
      <alignment horizontal="center" vertical="center"/>
    </xf>
    <xf numFmtId="0" fontId="7" fillId="3" borderId="10" xfId="0" applyFont="1" applyFill="1" applyBorder="1" applyAlignment="1">
      <alignment vertical="center"/>
    </xf>
    <xf numFmtId="0" fontId="15" fillId="3" borderId="10" xfId="0" applyFont="1" applyFill="1" applyBorder="1" applyAlignment="1">
      <alignment horizontal="center" vertical="center"/>
    </xf>
    <xf numFmtId="0" fontId="15" fillId="3" borderId="22" xfId="0" applyFont="1" applyFill="1" applyBorder="1" applyAlignment="1">
      <alignment horizontal="center" vertical="center"/>
    </xf>
    <xf numFmtId="0" fontId="10" fillId="5" borderId="34" xfId="3" applyFont="1" applyFill="1" applyBorder="1" applyAlignment="1">
      <alignment horizontal="left" vertical="center"/>
    </xf>
    <xf numFmtId="0" fontId="10" fillId="5" borderId="0" xfId="3" applyFont="1" applyFill="1" applyBorder="1" applyAlignment="1">
      <alignment horizontal="left" vertical="center"/>
    </xf>
    <xf numFmtId="0" fontId="2" fillId="2" borderId="2" xfId="3" applyFont="1" applyFill="1" applyBorder="1" applyAlignment="1">
      <alignment vertical="center" wrapText="1"/>
    </xf>
    <xf numFmtId="0" fontId="2" fillId="2" borderId="1" xfId="3" applyFont="1" applyFill="1" applyBorder="1" applyAlignment="1">
      <alignment vertical="center" wrapText="1"/>
    </xf>
    <xf numFmtId="0" fontId="2" fillId="2" borderId="1" xfId="0" applyFont="1" applyFill="1" applyBorder="1" applyAlignment="1">
      <alignment vertical="center" wrapTex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center" wrapText="1"/>
    </xf>
    <xf numFmtId="1" fontId="5" fillId="2" borderId="13" xfId="0" applyNumberFormat="1" applyFont="1" applyFill="1" applyBorder="1"/>
    <xf numFmtId="0" fontId="6" fillId="2" borderId="1" xfId="0" applyFont="1" applyFill="1" applyBorder="1" applyAlignment="1">
      <alignment horizontal="left"/>
    </xf>
    <xf numFmtId="0" fontId="6" fillId="2" borderId="1" xfId="0" applyFont="1" applyFill="1" applyBorder="1" applyAlignment="1">
      <alignment horizontal="left" vertical="center"/>
    </xf>
    <xf numFmtId="0" fontId="5" fillId="2" borderId="1" xfId="0" applyFont="1" applyFill="1" applyBorder="1" applyAlignment="1">
      <alignment horizontal="left" vertical="center"/>
    </xf>
    <xf numFmtId="0" fontId="6" fillId="2" borderId="1" xfId="2" applyFont="1" applyFill="1" applyBorder="1" applyAlignment="1">
      <alignment horizontal="left" vertical="center"/>
    </xf>
    <xf numFmtId="0" fontId="4" fillId="2" borderId="0" xfId="2" applyFont="1" applyFill="1" applyAlignment="1">
      <alignment horizontal="center"/>
    </xf>
    <xf numFmtId="0" fontId="2" fillId="2" borderId="27" xfId="3" applyFont="1" applyFill="1" applyBorder="1" applyAlignment="1">
      <alignment horizontal="left" vertical="top" wrapText="1"/>
    </xf>
    <xf numFmtId="0" fontId="2" fillId="2" borderId="28" xfId="3" applyFont="1" applyFill="1" applyBorder="1" applyAlignment="1">
      <alignment horizontal="left" vertical="top" wrapText="1"/>
    </xf>
    <xf numFmtId="0" fontId="2" fillId="2" borderId="25" xfId="3" applyFont="1" applyFill="1" applyBorder="1" applyAlignment="1">
      <alignment horizontal="left" vertical="top" wrapText="1"/>
    </xf>
    <xf numFmtId="0" fontId="2" fillId="2" borderId="30" xfId="3" applyFont="1" applyFill="1" applyBorder="1" applyAlignment="1">
      <alignment horizontal="left" vertical="top" wrapText="1"/>
    </xf>
    <xf numFmtId="0" fontId="12" fillId="0" borderId="0" xfId="1" applyAlignment="1">
      <alignment vertical="center" wrapText="1"/>
    </xf>
    <xf numFmtId="0" fontId="12" fillId="2" borderId="7" xfId="1" applyNumberFormat="1" applyFill="1" applyBorder="1" applyAlignment="1" applyProtection="1">
      <alignment horizontal="left" vertical="center" wrapText="1"/>
    </xf>
    <xf numFmtId="0" fontId="2" fillId="2" borderId="7" xfId="0" applyFont="1" applyFill="1" applyBorder="1" applyAlignment="1">
      <alignment horizontal="left" vertical="center" wrapText="1"/>
    </xf>
    <xf numFmtId="0" fontId="2" fillId="2" borderId="36" xfId="0" applyFont="1" applyFill="1" applyBorder="1" applyAlignment="1">
      <alignment horizontal="left" vertical="center" wrapText="1"/>
    </xf>
    <xf numFmtId="0" fontId="2" fillId="2" borderId="35" xfId="0" applyFont="1" applyFill="1" applyBorder="1" applyAlignment="1">
      <alignment horizontal="left" vertical="center" wrapText="1"/>
    </xf>
    <xf numFmtId="0" fontId="24" fillId="0" borderId="25" xfId="0" applyFont="1" applyBorder="1" applyAlignment="1">
      <alignment vertical="center"/>
    </xf>
    <xf numFmtId="0" fontId="25" fillId="0" borderId="25" xfId="0" applyFont="1" applyBorder="1" applyAlignment="1">
      <alignment vertical="center" wrapText="1"/>
    </xf>
    <xf numFmtId="0" fontId="24" fillId="0" borderId="25" xfId="0" applyFont="1" applyBorder="1" applyAlignment="1">
      <alignment vertical="center" wrapText="1"/>
    </xf>
  </cellXfs>
  <cellStyles count="6">
    <cellStyle name="Hyperlink" xfId="1" builtinId="8"/>
    <cellStyle name="Normal" xfId="0" builtinId="0"/>
    <cellStyle name="Normal_Functional Test Case v1.0" xfId="2"/>
    <cellStyle name="Normal_Sheet1" xfId="3"/>
    <cellStyle name="Normal_Template_UnitTest Case_v0.9" xfId="5"/>
    <cellStyle name="標準_結合試験(AllOvertheWorld)" xfId="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xdr:row>
      <xdr:rowOff>196477</xdr:rowOff>
    </xdr:from>
    <xdr:to>
      <xdr:col>0</xdr:col>
      <xdr:colOff>1667435</xdr:colOff>
      <xdr:row>1</xdr:row>
      <xdr:rowOff>721557</xdr:rowOff>
    </xdr:to>
    <xdr:pic>
      <xdr:nvPicPr>
        <xdr:cNvPr id="2" name="Picture 1">
          <a:extLst>
            <a:ext uri="{FF2B5EF4-FFF2-40B4-BE49-F238E27FC236}">
              <a16:creationId xmlns:a16="http://schemas.microsoft.com/office/drawing/2014/main" xmlns=""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366806"/>
          <a:ext cx="1515035" cy="5250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F17"/>
  <sheetViews>
    <sheetView showGridLines="0" zoomScale="85" zoomScaleNormal="85" workbookViewId="0">
      <selection activeCell="B24" sqref="B24"/>
    </sheetView>
  </sheetViews>
  <sheetFormatPr defaultColWidth="9" defaultRowHeight="13.2"/>
  <cols>
    <col min="1" max="1" width="28.109375" style="87" customWidth="1"/>
    <col min="2" max="2" width="10" style="72" customWidth="1"/>
    <col min="3" max="3" width="14.33203125" style="72" customWidth="1"/>
    <col min="4" max="4" width="8" style="72" customWidth="1"/>
    <col min="5" max="5" width="38" style="72" customWidth="1"/>
    <col min="6" max="6" width="48.109375" style="72" customWidth="1"/>
    <col min="7" max="256" width="9" style="72"/>
    <col min="257" max="257" width="28.109375" style="72" customWidth="1"/>
    <col min="258" max="258" width="10" style="72" customWidth="1"/>
    <col min="259" max="259" width="14.33203125" style="72" customWidth="1"/>
    <col min="260" max="260" width="8" style="72" customWidth="1"/>
    <col min="261" max="261" width="38" style="72" customWidth="1"/>
    <col min="262" max="262" width="48.109375" style="72" customWidth="1"/>
    <col min="263" max="512" width="9" style="72"/>
    <col min="513" max="513" width="28.109375" style="72" customWidth="1"/>
    <col min="514" max="514" width="10" style="72" customWidth="1"/>
    <col min="515" max="515" width="14.33203125" style="72" customWidth="1"/>
    <col min="516" max="516" width="8" style="72" customWidth="1"/>
    <col min="517" max="517" width="38" style="72" customWidth="1"/>
    <col min="518" max="518" width="48.109375" style="72" customWidth="1"/>
    <col min="519" max="768" width="9" style="72"/>
    <col min="769" max="769" width="28.109375" style="72" customWidth="1"/>
    <col min="770" max="770" width="10" style="72" customWidth="1"/>
    <col min="771" max="771" width="14.33203125" style="72" customWidth="1"/>
    <col min="772" max="772" width="8" style="72" customWidth="1"/>
    <col min="773" max="773" width="38" style="72" customWidth="1"/>
    <col min="774" max="774" width="48.109375" style="72" customWidth="1"/>
    <col min="775" max="1024" width="9" style="72"/>
    <col min="1025" max="1025" width="28.109375" style="72" customWidth="1"/>
    <col min="1026" max="1026" width="10" style="72" customWidth="1"/>
    <col min="1027" max="1027" width="14.33203125" style="72" customWidth="1"/>
    <col min="1028" max="1028" width="8" style="72" customWidth="1"/>
    <col min="1029" max="1029" width="38" style="72" customWidth="1"/>
    <col min="1030" max="1030" width="48.109375" style="72" customWidth="1"/>
    <col min="1031" max="1280" width="9" style="72"/>
    <col min="1281" max="1281" width="28.109375" style="72" customWidth="1"/>
    <col min="1282" max="1282" width="10" style="72" customWidth="1"/>
    <col min="1283" max="1283" width="14.33203125" style="72" customWidth="1"/>
    <col min="1284" max="1284" width="8" style="72" customWidth="1"/>
    <col min="1285" max="1285" width="38" style="72" customWidth="1"/>
    <col min="1286" max="1286" width="48.109375" style="72" customWidth="1"/>
    <col min="1287" max="1536" width="9" style="72"/>
    <col min="1537" max="1537" width="28.109375" style="72" customWidth="1"/>
    <col min="1538" max="1538" width="10" style="72" customWidth="1"/>
    <col min="1539" max="1539" width="14.33203125" style="72" customWidth="1"/>
    <col min="1540" max="1540" width="8" style="72" customWidth="1"/>
    <col min="1541" max="1541" width="38" style="72" customWidth="1"/>
    <col min="1542" max="1542" width="48.109375" style="72" customWidth="1"/>
    <col min="1543" max="1792" width="9" style="72"/>
    <col min="1793" max="1793" width="28.109375" style="72" customWidth="1"/>
    <col min="1794" max="1794" width="10" style="72" customWidth="1"/>
    <col min="1795" max="1795" width="14.33203125" style="72" customWidth="1"/>
    <col min="1796" max="1796" width="8" style="72" customWidth="1"/>
    <col min="1797" max="1797" width="38" style="72" customWidth="1"/>
    <col min="1798" max="1798" width="48.109375" style="72" customWidth="1"/>
    <col min="1799" max="2048" width="9" style="72"/>
    <col min="2049" max="2049" width="28.109375" style="72" customWidth="1"/>
    <col min="2050" max="2050" width="10" style="72" customWidth="1"/>
    <col min="2051" max="2051" width="14.33203125" style="72" customWidth="1"/>
    <col min="2052" max="2052" width="8" style="72" customWidth="1"/>
    <col min="2053" max="2053" width="38" style="72" customWidth="1"/>
    <col min="2054" max="2054" width="48.109375" style="72" customWidth="1"/>
    <col min="2055" max="2304" width="9" style="72"/>
    <col min="2305" max="2305" width="28.109375" style="72" customWidth="1"/>
    <col min="2306" max="2306" width="10" style="72" customWidth="1"/>
    <col min="2307" max="2307" width="14.33203125" style="72" customWidth="1"/>
    <col min="2308" max="2308" width="8" style="72" customWidth="1"/>
    <col min="2309" max="2309" width="38" style="72" customWidth="1"/>
    <col min="2310" max="2310" width="48.109375" style="72" customWidth="1"/>
    <col min="2311" max="2560" width="9" style="72"/>
    <col min="2561" max="2561" width="28.109375" style="72" customWidth="1"/>
    <col min="2562" max="2562" width="10" style="72" customWidth="1"/>
    <col min="2563" max="2563" width="14.33203125" style="72" customWidth="1"/>
    <col min="2564" max="2564" width="8" style="72" customWidth="1"/>
    <col min="2565" max="2565" width="38" style="72" customWidth="1"/>
    <col min="2566" max="2566" width="48.109375" style="72" customWidth="1"/>
    <col min="2567" max="2816" width="9" style="72"/>
    <col min="2817" max="2817" width="28.109375" style="72" customWidth="1"/>
    <col min="2818" max="2818" width="10" style="72" customWidth="1"/>
    <col min="2819" max="2819" width="14.33203125" style="72" customWidth="1"/>
    <col min="2820" max="2820" width="8" style="72" customWidth="1"/>
    <col min="2821" max="2821" width="38" style="72" customWidth="1"/>
    <col min="2822" max="2822" width="48.109375" style="72" customWidth="1"/>
    <col min="2823" max="3072" width="9" style="72"/>
    <col min="3073" max="3073" width="28.109375" style="72" customWidth="1"/>
    <col min="3074" max="3074" width="10" style="72" customWidth="1"/>
    <col min="3075" max="3075" width="14.33203125" style="72" customWidth="1"/>
    <col min="3076" max="3076" width="8" style="72" customWidth="1"/>
    <col min="3077" max="3077" width="38" style="72" customWidth="1"/>
    <col min="3078" max="3078" width="48.109375" style="72" customWidth="1"/>
    <col min="3079" max="3328" width="9" style="72"/>
    <col min="3329" max="3329" width="28.109375" style="72" customWidth="1"/>
    <col min="3330" max="3330" width="10" style="72" customWidth="1"/>
    <col min="3331" max="3331" width="14.33203125" style="72" customWidth="1"/>
    <col min="3332" max="3332" width="8" style="72" customWidth="1"/>
    <col min="3333" max="3333" width="38" style="72" customWidth="1"/>
    <col min="3334" max="3334" width="48.109375" style="72" customWidth="1"/>
    <col min="3335" max="3584" width="9" style="72"/>
    <col min="3585" max="3585" width="28.109375" style="72" customWidth="1"/>
    <col min="3586" max="3586" width="10" style="72" customWidth="1"/>
    <col min="3587" max="3587" width="14.33203125" style="72" customWidth="1"/>
    <col min="3588" max="3588" width="8" style="72" customWidth="1"/>
    <col min="3589" max="3589" width="38" style="72" customWidth="1"/>
    <col min="3590" max="3590" width="48.109375" style="72" customWidth="1"/>
    <col min="3591" max="3840" width="9" style="72"/>
    <col min="3841" max="3841" width="28.109375" style="72" customWidth="1"/>
    <col min="3842" max="3842" width="10" style="72" customWidth="1"/>
    <col min="3843" max="3843" width="14.33203125" style="72" customWidth="1"/>
    <col min="3844" max="3844" width="8" style="72" customWidth="1"/>
    <col min="3845" max="3845" width="38" style="72" customWidth="1"/>
    <col min="3846" max="3846" width="48.109375" style="72" customWidth="1"/>
    <col min="3847" max="4096" width="9" style="72"/>
    <col min="4097" max="4097" width="28.109375" style="72" customWidth="1"/>
    <col min="4098" max="4098" width="10" style="72" customWidth="1"/>
    <col min="4099" max="4099" width="14.33203125" style="72" customWidth="1"/>
    <col min="4100" max="4100" width="8" style="72" customWidth="1"/>
    <col min="4101" max="4101" width="38" style="72" customWidth="1"/>
    <col min="4102" max="4102" width="48.109375" style="72" customWidth="1"/>
    <col min="4103" max="4352" width="9" style="72"/>
    <col min="4353" max="4353" width="28.109375" style="72" customWidth="1"/>
    <col min="4354" max="4354" width="10" style="72" customWidth="1"/>
    <col min="4355" max="4355" width="14.33203125" style="72" customWidth="1"/>
    <col min="4356" max="4356" width="8" style="72" customWidth="1"/>
    <col min="4357" max="4357" width="38" style="72" customWidth="1"/>
    <col min="4358" max="4358" width="48.109375" style="72" customWidth="1"/>
    <col min="4359" max="4608" width="9" style="72"/>
    <col min="4609" max="4609" width="28.109375" style="72" customWidth="1"/>
    <col min="4610" max="4610" width="10" style="72" customWidth="1"/>
    <col min="4611" max="4611" width="14.33203125" style="72" customWidth="1"/>
    <col min="4612" max="4612" width="8" style="72" customWidth="1"/>
    <col min="4613" max="4613" width="38" style="72" customWidth="1"/>
    <col min="4614" max="4614" width="48.109375" style="72" customWidth="1"/>
    <col min="4615" max="4864" width="9" style="72"/>
    <col min="4865" max="4865" width="28.109375" style="72" customWidth="1"/>
    <col min="4866" max="4866" width="10" style="72" customWidth="1"/>
    <col min="4867" max="4867" width="14.33203125" style="72" customWidth="1"/>
    <col min="4868" max="4868" width="8" style="72" customWidth="1"/>
    <col min="4869" max="4869" width="38" style="72" customWidth="1"/>
    <col min="4870" max="4870" width="48.109375" style="72" customWidth="1"/>
    <col min="4871" max="5120" width="9" style="72"/>
    <col min="5121" max="5121" width="28.109375" style="72" customWidth="1"/>
    <col min="5122" max="5122" width="10" style="72" customWidth="1"/>
    <col min="5123" max="5123" width="14.33203125" style="72" customWidth="1"/>
    <col min="5124" max="5124" width="8" style="72" customWidth="1"/>
    <col min="5125" max="5125" width="38" style="72" customWidth="1"/>
    <col min="5126" max="5126" width="48.109375" style="72" customWidth="1"/>
    <col min="5127" max="5376" width="9" style="72"/>
    <col min="5377" max="5377" width="28.109375" style="72" customWidth="1"/>
    <col min="5378" max="5378" width="10" style="72" customWidth="1"/>
    <col min="5379" max="5379" width="14.33203125" style="72" customWidth="1"/>
    <col min="5380" max="5380" width="8" style="72" customWidth="1"/>
    <col min="5381" max="5381" width="38" style="72" customWidth="1"/>
    <col min="5382" max="5382" width="48.109375" style="72" customWidth="1"/>
    <col min="5383" max="5632" width="9" style="72"/>
    <col min="5633" max="5633" width="28.109375" style="72" customWidth="1"/>
    <col min="5634" max="5634" width="10" style="72" customWidth="1"/>
    <col min="5635" max="5635" width="14.33203125" style="72" customWidth="1"/>
    <col min="5636" max="5636" width="8" style="72" customWidth="1"/>
    <col min="5637" max="5637" width="38" style="72" customWidth="1"/>
    <col min="5638" max="5638" width="48.109375" style="72" customWidth="1"/>
    <col min="5639" max="5888" width="9" style="72"/>
    <col min="5889" max="5889" width="28.109375" style="72" customWidth="1"/>
    <col min="5890" max="5890" width="10" style="72" customWidth="1"/>
    <col min="5891" max="5891" width="14.33203125" style="72" customWidth="1"/>
    <col min="5892" max="5892" width="8" style="72" customWidth="1"/>
    <col min="5893" max="5893" width="38" style="72" customWidth="1"/>
    <col min="5894" max="5894" width="48.109375" style="72" customWidth="1"/>
    <col min="5895" max="6144" width="9" style="72"/>
    <col min="6145" max="6145" width="28.109375" style="72" customWidth="1"/>
    <col min="6146" max="6146" width="10" style="72" customWidth="1"/>
    <col min="6147" max="6147" width="14.33203125" style="72" customWidth="1"/>
    <col min="6148" max="6148" width="8" style="72" customWidth="1"/>
    <col min="6149" max="6149" width="38" style="72" customWidth="1"/>
    <col min="6150" max="6150" width="48.109375" style="72" customWidth="1"/>
    <col min="6151" max="6400" width="9" style="72"/>
    <col min="6401" max="6401" width="28.109375" style="72" customWidth="1"/>
    <col min="6402" max="6402" width="10" style="72" customWidth="1"/>
    <col min="6403" max="6403" width="14.33203125" style="72" customWidth="1"/>
    <col min="6404" max="6404" width="8" style="72" customWidth="1"/>
    <col min="6405" max="6405" width="38" style="72" customWidth="1"/>
    <col min="6406" max="6406" width="48.109375" style="72" customWidth="1"/>
    <col min="6407" max="6656" width="9" style="72"/>
    <col min="6657" max="6657" width="28.109375" style="72" customWidth="1"/>
    <col min="6658" max="6658" width="10" style="72" customWidth="1"/>
    <col min="6659" max="6659" width="14.33203125" style="72" customWidth="1"/>
    <col min="6660" max="6660" width="8" style="72" customWidth="1"/>
    <col min="6661" max="6661" width="38" style="72" customWidth="1"/>
    <col min="6662" max="6662" width="48.109375" style="72" customWidth="1"/>
    <col min="6663" max="6912" width="9" style="72"/>
    <col min="6913" max="6913" width="28.109375" style="72" customWidth="1"/>
    <col min="6914" max="6914" width="10" style="72" customWidth="1"/>
    <col min="6915" max="6915" width="14.33203125" style="72" customWidth="1"/>
    <col min="6916" max="6916" width="8" style="72" customWidth="1"/>
    <col min="6917" max="6917" width="38" style="72" customWidth="1"/>
    <col min="6918" max="6918" width="48.109375" style="72" customWidth="1"/>
    <col min="6919" max="7168" width="9" style="72"/>
    <col min="7169" max="7169" width="28.109375" style="72" customWidth="1"/>
    <col min="7170" max="7170" width="10" style="72" customWidth="1"/>
    <col min="7171" max="7171" width="14.33203125" style="72" customWidth="1"/>
    <col min="7172" max="7172" width="8" style="72" customWidth="1"/>
    <col min="7173" max="7173" width="38" style="72" customWidth="1"/>
    <col min="7174" max="7174" width="48.109375" style="72" customWidth="1"/>
    <col min="7175" max="7424" width="9" style="72"/>
    <col min="7425" max="7425" width="28.109375" style="72" customWidth="1"/>
    <col min="7426" max="7426" width="10" style="72" customWidth="1"/>
    <col min="7427" max="7427" width="14.33203125" style="72" customWidth="1"/>
    <col min="7428" max="7428" width="8" style="72" customWidth="1"/>
    <col min="7429" max="7429" width="38" style="72" customWidth="1"/>
    <col min="7430" max="7430" width="48.109375" style="72" customWidth="1"/>
    <col min="7431" max="7680" width="9" style="72"/>
    <col min="7681" max="7681" width="28.109375" style="72" customWidth="1"/>
    <col min="7682" max="7682" width="10" style="72" customWidth="1"/>
    <col min="7683" max="7683" width="14.33203125" style="72" customWidth="1"/>
    <col min="7684" max="7684" width="8" style="72" customWidth="1"/>
    <col min="7685" max="7685" width="38" style="72" customWidth="1"/>
    <col min="7686" max="7686" width="48.109375" style="72" customWidth="1"/>
    <col min="7687" max="7936" width="9" style="72"/>
    <col min="7937" max="7937" width="28.109375" style="72" customWidth="1"/>
    <col min="7938" max="7938" width="10" style="72" customWidth="1"/>
    <col min="7939" max="7939" width="14.33203125" style="72" customWidth="1"/>
    <col min="7940" max="7940" width="8" style="72" customWidth="1"/>
    <col min="7941" max="7941" width="38" style="72" customWidth="1"/>
    <col min="7942" max="7942" width="48.109375" style="72" customWidth="1"/>
    <col min="7943" max="8192" width="9" style="72"/>
    <col min="8193" max="8193" width="28.109375" style="72" customWidth="1"/>
    <col min="8194" max="8194" width="10" style="72" customWidth="1"/>
    <col min="8195" max="8195" width="14.33203125" style="72" customWidth="1"/>
    <col min="8196" max="8196" width="8" style="72" customWidth="1"/>
    <col min="8197" max="8197" width="38" style="72" customWidth="1"/>
    <col min="8198" max="8198" width="48.109375" style="72" customWidth="1"/>
    <col min="8199" max="8448" width="9" style="72"/>
    <col min="8449" max="8449" width="28.109375" style="72" customWidth="1"/>
    <col min="8450" max="8450" width="10" style="72" customWidth="1"/>
    <col min="8451" max="8451" width="14.33203125" style="72" customWidth="1"/>
    <col min="8452" max="8452" width="8" style="72" customWidth="1"/>
    <col min="8453" max="8453" width="38" style="72" customWidth="1"/>
    <col min="8454" max="8454" width="48.109375" style="72" customWidth="1"/>
    <col min="8455" max="8704" width="9" style="72"/>
    <col min="8705" max="8705" width="28.109375" style="72" customWidth="1"/>
    <col min="8706" max="8706" width="10" style="72" customWidth="1"/>
    <col min="8707" max="8707" width="14.33203125" style="72" customWidth="1"/>
    <col min="8708" max="8708" width="8" style="72" customWidth="1"/>
    <col min="8709" max="8709" width="38" style="72" customWidth="1"/>
    <col min="8710" max="8710" width="48.109375" style="72" customWidth="1"/>
    <col min="8711" max="8960" width="9" style="72"/>
    <col min="8961" max="8961" width="28.109375" style="72" customWidth="1"/>
    <col min="8962" max="8962" width="10" style="72" customWidth="1"/>
    <col min="8963" max="8963" width="14.33203125" style="72" customWidth="1"/>
    <col min="8964" max="8964" width="8" style="72" customWidth="1"/>
    <col min="8965" max="8965" width="38" style="72" customWidth="1"/>
    <col min="8966" max="8966" width="48.109375" style="72" customWidth="1"/>
    <col min="8967" max="9216" width="9" style="72"/>
    <col min="9217" max="9217" width="28.109375" style="72" customWidth="1"/>
    <col min="9218" max="9218" width="10" style="72" customWidth="1"/>
    <col min="9219" max="9219" width="14.33203125" style="72" customWidth="1"/>
    <col min="9220" max="9220" width="8" style="72" customWidth="1"/>
    <col min="9221" max="9221" width="38" style="72" customWidth="1"/>
    <col min="9222" max="9222" width="48.109375" style="72" customWidth="1"/>
    <col min="9223" max="9472" width="9" style="72"/>
    <col min="9473" max="9473" width="28.109375" style="72" customWidth="1"/>
    <col min="9474" max="9474" width="10" style="72" customWidth="1"/>
    <col min="9475" max="9475" width="14.33203125" style="72" customWidth="1"/>
    <col min="9476" max="9476" width="8" style="72" customWidth="1"/>
    <col min="9477" max="9477" width="38" style="72" customWidth="1"/>
    <col min="9478" max="9478" width="48.109375" style="72" customWidth="1"/>
    <col min="9479" max="9728" width="9" style="72"/>
    <col min="9729" max="9729" width="28.109375" style="72" customWidth="1"/>
    <col min="9730" max="9730" width="10" style="72" customWidth="1"/>
    <col min="9731" max="9731" width="14.33203125" style="72" customWidth="1"/>
    <col min="9732" max="9732" width="8" style="72" customWidth="1"/>
    <col min="9733" max="9733" width="38" style="72" customWidth="1"/>
    <col min="9734" max="9734" width="48.109375" style="72" customWidth="1"/>
    <col min="9735" max="9984" width="9" style="72"/>
    <col min="9985" max="9985" width="28.109375" style="72" customWidth="1"/>
    <col min="9986" max="9986" width="10" style="72" customWidth="1"/>
    <col min="9987" max="9987" width="14.33203125" style="72" customWidth="1"/>
    <col min="9988" max="9988" width="8" style="72" customWidth="1"/>
    <col min="9989" max="9989" width="38" style="72" customWidth="1"/>
    <col min="9990" max="9990" width="48.109375" style="72" customWidth="1"/>
    <col min="9991" max="10240" width="9" style="72"/>
    <col min="10241" max="10241" width="28.109375" style="72" customWidth="1"/>
    <col min="10242" max="10242" width="10" style="72" customWidth="1"/>
    <col min="10243" max="10243" width="14.33203125" style="72" customWidth="1"/>
    <col min="10244" max="10244" width="8" style="72" customWidth="1"/>
    <col min="10245" max="10245" width="38" style="72" customWidth="1"/>
    <col min="10246" max="10246" width="48.109375" style="72" customWidth="1"/>
    <col min="10247" max="10496" width="9" style="72"/>
    <col min="10497" max="10497" width="28.109375" style="72" customWidth="1"/>
    <col min="10498" max="10498" width="10" style="72" customWidth="1"/>
    <col min="10499" max="10499" width="14.33203125" style="72" customWidth="1"/>
    <col min="10500" max="10500" width="8" style="72" customWidth="1"/>
    <col min="10501" max="10501" width="38" style="72" customWidth="1"/>
    <col min="10502" max="10502" width="48.109375" style="72" customWidth="1"/>
    <col min="10503" max="10752" width="9" style="72"/>
    <col min="10753" max="10753" width="28.109375" style="72" customWidth="1"/>
    <col min="10754" max="10754" width="10" style="72" customWidth="1"/>
    <col min="10755" max="10755" width="14.33203125" style="72" customWidth="1"/>
    <col min="10756" max="10756" width="8" style="72" customWidth="1"/>
    <col min="10757" max="10757" width="38" style="72" customWidth="1"/>
    <col min="10758" max="10758" width="48.109375" style="72" customWidth="1"/>
    <col min="10759" max="11008" width="9" style="72"/>
    <col min="11009" max="11009" width="28.109375" style="72" customWidth="1"/>
    <col min="11010" max="11010" width="10" style="72" customWidth="1"/>
    <col min="11011" max="11011" width="14.33203125" style="72" customWidth="1"/>
    <col min="11012" max="11012" width="8" style="72" customWidth="1"/>
    <col min="11013" max="11013" width="38" style="72" customWidth="1"/>
    <col min="11014" max="11014" width="48.109375" style="72" customWidth="1"/>
    <col min="11015" max="11264" width="9" style="72"/>
    <col min="11265" max="11265" width="28.109375" style="72" customWidth="1"/>
    <col min="11266" max="11266" width="10" style="72" customWidth="1"/>
    <col min="11267" max="11267" width="14.33203125" style="72" customWidth="1"/>
    <col min="11268" max="11268" width="8" style="72" customWidth="1"/>
    <col min="11269" max="11269" width="38" style="72" customWidth="1"/>
    <col min="11270" max="11270" width="48.109375" style="72" customWidth="1"/>
    <col min="11271" max="11520" width="9" style="72"/>
    <col min="11521" max="11521" width="28.109375" style="72" customWidth="1"/>
    <col min="11522" max="11522" width="10" style="72" customWidth="1"/>
    <col min="11523" max="11523" width="14.33203125" style="72" customWidth="1"/>
    <col min="11524" max="11524" width="8" style="72" customWidth="1"/>
    <col min="11525" max="11525" width="38" style="72" customWidth="1"/>
    <col min="11526" max="11526" width="48.109375" style="72" customWidth="1"/>
    <col min="11527" max="11776" width="9" style="72"/>
    <col min="11777" max="11777" width="28.109375" style="72" customWidth="1"/>
    <col min="11778" max="11778" width="10" style="72" customWidth="1"/>
    <col min="11779" max="11779" width="14.33203125" style="72" customWidth="1"/>
    <col min="11780" max="11780" width="8" style="72" customWidth="1"/>
    <col min="11781" max="11781" width="38" style="72" customWidth="1"/>
    <col min="11782" max="11782" width="48.109375" style="72" customWidth="1"/>
    <col min="11783" max="12032" width="9" style="72"/>
    <col min="12033" max="12033" width="28.109375" style="72" customWidth="1"/>
    <col min="12034" max="12034" width="10" style="72" customWidth="1"/>
    <col min="12035" max="12035" width="14.33203125" style="72" customWidth="1"/>
    <col min="12036" max="12036" width="8" style="72" customWidth="1"/>
    <col min="12037" max="12037" width="38" style="72" customWidth="1"/>
    <col min="12038" max="12038" width="48.109375" style="72" customWidth="1"/>
    <col min="12039" max="12288" width="9" style="72"/>
    <col min="12289" max="12289" width="28.109375" style="72" customWidth="1"/>
    <col min="12290" max="12290" width="10" style="72" customWidth="1"/>
    <col min="12291" max="12291" width="14.33203125" style="72" customWidth="1"/>
    <col min="12292" max="12292" width="8" style="72" customWidth="1"/>
    <col min="12293" max="12293" width="38" style="72" customWidth="1"/>
    <col min="12294" max="12294" width="48.109375" style="72" customWidth="1"/>
    <col min="12295" max="12544" width="9" style="72"/>
    <col min="12545" max="12545" width="28.109375" style="72" customWidth="1"/>
    <col min="12546" max="12546" width="10" style="72" customWidth="1"/>
    <col min="12547" max="12547" width="14.33203125" style="72" customWidth="1"/>
    <col min="12548" max="12548" width="8" style="72" customWidth="1"/>
    <col min="12549" max="12549" width="38" style="72" customWidth="1"/>
    <col min="12550" max="12550" width="48.109375" style="72" customWidth="1"/>
    <col min="12551" max="12800" width="9" style="72"/>
    <col min="12801" max="12801" width="28.109375" style="72" customWidth="1"/>
    <col min="12802" max="12802" width="10" style="72" customWidth="1"/>
    <col min="12803" max="12803" width="14.33203125" style="72" customWidth="1"/>
    <col min="12804" max="12804" width="8" style="72" customWidth="1"/>
    <col min="12805" max="12805" width="38" style="72" customWidth="1"/>
    <col min="12806" max="12806" width="48.109375" style="72" customWidth="1"/>
    <col min="12807" max="13056" width="9" style="72"/>
    <col min="13057" max="13057" width="28.109375" style="72" customWidth="1"/>
    <col min="13058" max="13058" width="10" style="72" customWidth="1"/>
    <col min="13059" max="13059" width="14.33203125" style="72" customWidth="1"/>
    <col min="13060" max="13060" width="8" style="72" customWidth="1"/>
    <col min="13061" max="13061" width="38" style="72" customWidth="1"/>
    <col min="13062" max="13062" width="48.109375" style="72" customWidth="1"/>
    <col min="13063" max="13312" width="9" style="72"/>
    <col min="13313" max="13313" width="28.109375" style="72" customWidth="1"/>
    <col min="13314" max="13314" width="10" style="72" customWidth="1"/>
    <col min="13315" max="13315" width="14.33203125" style="72" customWidth="1"/>
    <col min="13316" max="13316" width="8" style="72" customWidth="1"/>
    <col min="13317" max="13317" width="38" style="72" customWidth="1"/>
    <col min="13318" max="13318" width="48.109375" style="72" customWidth="1"/>
    <col min="13319" max="13568" width="9" style="72"/>
    <col min="13569" max="13569" width="28.109375" style="72" customWidth="1"/>
    <col min="13570" max="13570" width="10" style="72" customWidth="1"/>
    <col min="13571" max="13571" width="14.33203125" style="72" customWidth="1"/>
    <col min="13572" max="13572" width="8" style="72" customWidth="1"/>
    <col min="13573" max="13573" width="38" style="72" customWidth="1"/>
    <col min="13574" max="13574" width="48.109375" style="72" customWidth="1"/>
    <col min="13575" max="13824" width="9" style="72"/>
    <col min="13825" max="13825" width="28.109375" style="72" customWidth="1"/>
    <col min="13826" max="13826" width="10" style="72" customWidth="1"/>
    <col min="13827" max="13827" width="14.33203125" style="72" customWidth="1"/>
    <col min="13828" max="13828" width="8" style="72" customWidth="1"/>
    <col min="13829" max="13829" width="38" style="72" customWidth="1"/>
    <col min="13830" max="13830" width="48.109375" style="72" customWidth="1"/>
    <col min="13831" max="14080" width="9" style="72"/>
    <col min="14081" max="14081" width="28.109375" style="72" customWidth="1"/>
    <col min="14082" max="14082" width="10" style="72" customWidth="1"/>
    <col min="14083" max="14083" width="14.33203125" style="72" customWidth="1"/>
    <col min="14084" max="14084" width="8" style="72" customWidth="1"/>
    <col min="14085" max="14085" width="38" style="72" customWidth="1"/>
    <col min="14086" max="14086" width="48.109375" style="72" customWidth="1"/>
    <col min="14087" max="14336" width="9" style="72"/>
    <col min="14337" max="14337" width="28.109375" style="72" customWidth="1"/>
    <col min="14338" max="14338" width="10" style="72" customWidth="1"/>
    <col min="14339" max="14339" width="14.33203125" style="72" customWidth="1"/>
    <col min="14340" max="14340" width="8" style="72" customWidth="1"/>
    <col min="14341" max="14341" width="38" style="72" customWidth="1"/>
    <col min="14342" max="14342" width="48.109375" style="72" customWidth="1"/>
    <col min="14343" max="14592" width="9" style="72"/>
    <col min="14593" max="14593" width="28.109375" style="72" customWidth="1"/>
    <col min="14594" max="14594" width="10" style="72" customWidth="1"/>
    <col min="14595" max="14595" width="14.33203125" style="72" customWidth="1"/>
    <col min="14596" max="14596" width="8" style="72" customWidth="1"/>
    <col min="14597" max="14597" width="38" style="72" customWidth="1"/>
    <col min="14598" max="14598" width="48.109375" style="72" customWidth="1"/>
    <col min="14599" max="14848" width="9" style="72"/>
    <col min="14849" max="14849" width="28.109375" style="72" customWidth="1"/>
    <col min="14850" max="14850" width="10" style="72" customWidth="1"/>
    <col min="14851" max="14851" width="14.33203125" style="72" customWidth="1"/>
    <col min="14852" max="14852" width="8" style="72" customWidth="1"/>
    <col min="14853" max="14853" width="38" style="72" customWidth="1"/>
    <col min="14854" max="14854" width="48.109375" style="72" customWidth="1"/>
    <col min="14855" max="15104" width="9" style="72"/>
    <col min="15105" max="15105" width="28.109375" style="72" customWidth="1"/>
    <col min="15106" max="15106" width="10" style="72" customWidth="1"/>
    <col min="15107" max="15107" width="14.33203125" style="72" customWidth="1"/>
    <col min="15108" max="15108" width="8" style="72" customWidth="1"/>
    <col min="15109" max="15109" width="38" style="72" customWidth="1"/>
    <col min="15110" max="15110" width="48.109375" style="72" customWidth="1"/>
    <col min="15111" max="15360" width="9" style="72"/>
    <col min="15361" max="15361" width="28.109375" style="72" customWidth="1"/>
    <col min="15362" max="15362" width="10" style="72" customWidth="1"/>
    <col min="15363" max="15363" width="14.33203125" style="72" customWidth="1"/>
    <col min="15364" max="15364" width="8" style="72" customWidth="1"/>
    <col min="15365" max="15365" width="38" style="72" customWidth="1"/>
    <col min="15366" max="15366" width="48.109375" style="72" customWidth="1"/>
    <col min="15367" max="15616" width="9" style="72"/>
    <col min="15617" max="15617" width="28.109375" style="72" customWidth="1"/>
    <col min="15618" max="15618" width="10" style="72" customWidth="1"/>
    <col min="15619" max="15619" width="14.33203125" style="72" customWidth="1"/>
    <col min="15620" max="15620" width="8" style="72" customWidth="1"/>
    <col min="15621" max="15621" width="38" style="72" customWidth="1"/>
    <col min="15622" max="15622" width="48.109375" style="72" customWidth="1"/>
    <col min="15623" max="15872" width="9" style="72"/>
    <col min="15873" max="15873" width="28.109375" style="72" customWidth="1"/>
    <col min="15874" max="15874" width="10" style="72" customWidth="1"/>
    <col min="15875" max="15875" width="14.33203125" style="72" customWidth="1"/>
    <col min="15876" max="15876" width="8" style="72" customWidth="1"/>
    <col min="15877" max="15877" width="38" style="72" customWidth="1"/>
    <col min="15878" max="15878" width="48.109375" style="72" customWidth="1"/>
    <col min="15879" max="16128" width="9" style="72"/>
    <col min="16129" max="16129" width="28.109375" style="72" customWidth="1"/>
    <col min="16130" max="16130" width="10" style="72" customWidth="1"/>
    <col min="16131" max="16131" width="14.33203125" style="72" customWidth="1"/>
    <col min="16132" max="16132" width="8" style="72" customWidth="1"/>
    <col min="16133" max="16133" width="38" style="72" customWidth="1"/>
    <col min="16134" max="16134" width="48.109375" style="72" customWidth="1"/>
    <col min="16135" max="16384" width="9" style="72"/>
  </cols>
  <sheetData>
    <row r="2" spans="1:6" s="69" customFormat="1" ht="75.75" customHeight="1">
      <c r="A2" s="68"/>
      <c r="B2" s="123" t="s">
        <v>52</v>
      </c>
      <c r="C2" s="123"/>
      <c r="D2" s="123"/>
      <c r="E2" s="123"/>
      <c r="F2" s="123"/>
    </row>
    <row r="3" spans="1:6">
      <c r="A3" s="70"/>
      <c r="B3" s="71"/>
      <c r="E3" s="73"/>
    </row>
    <row r="4" spans="1:6" ht="14.25" customHeight="1">
      <c r="A4" s="74" t="s">
        <v>0</v>
      </c>
      <c r="B4" s="124" t="s">
        <v>56</v>
      </c>
      <c r="C4" s="124"/>
      <c r="D4" s="124"/>
      <c r="E4" s="74" t="s">
        <v>1</v>
      </c>
      <c r="F4" s="75" t="s">
        <v>58</v>
      </c>
    </row>
    <row r="5" spans="1:6" ht="14.25" customHeight="1">
      <c r="A5" s="74" t="s">
        <v>2</v>
      </c>
      <c r="B5" s="124" t="s">
        <v>57</v>
      </c>
      <c r="C5" s="124"/>
      <c r="D5" s="124"/>
      <c r="E5" s="74" t="s">
        <v>5</v>
      </c>
      <c r="F5" s="88" t="s">
        <v>61</v>
      </c>
    </row>
    <row r="6" spans="1:6" ht="15.75" customHeight="1">
      <c r="A6" s="76" t="s">
        <v>4</v>
      </c>
      <c r="B6" s="125" t="str">
        <f>B5&amp;"_"&amp;"XXX"&amp;"_"&amp;"vx.x"</f>
        <v>RCHS_XXX_vx.x</v>
      </c>
      <c r="C6" s="126"/>
      <c r="D6" s="127"/>
      <c r="E6" s="74" t="s">
        <v>6</v>
      </c>
      <c r="F6" s="77" t="s">
        <v>59</v>
      </c>
    </row>
    <row r="7" spans="1:6">
      <c r="A7" s="78"/>
      <c r="B7" s="79"/>
      <c r="E7" s="80"/>
      <c r="F7" s="71"/>
    </row>
    <row r="8" spans="1:6">
      <c r="A8" s="72"/>
    </row>
    <row r="9" spans="1:6">
      <c r="A9" s="81" t="s">
        <v>7</v>
      </c>
    </row>
    <row r="10" spans="1:6" s="85" customFormat="1">
      <c r="A10" s="82" t="s">
        <v>8</v>
      </c>
      <c r="B10" s="83" t="s">
        <v>6</v>
      </c>
      <c r="C10" s="83" t="s">
        <v>9</v>
      </c>
      <c r="D10" s="83" t="s">
        <v>10</v>
      </c>
      <c r="E10" s="83" t="s">
        <v>11</v>
      </c>
      <c r="F10" s="84" t="s">
        <v>12</v>
      </c>
    </row>
    <row r="11" spans="1:6" s="86" customFormat="1" ht="26.25" customHeight="1">
      <c r="A11" s="89" t="s">
        <v>62</v>
      </c>
      <c r="B11" s="90" t="s">
        <v>59</v>
      </c>
      <c r="C11" s="91" t="s">
        <v>64</v>
      </c>
      <c r="D11" s="91" t="s">
        <v>63</v>
      </c>
      <c r="E11" s="96" t="s">
        <v>65</v>
      </c>
      <c r="F11" s="97" t="s">
        <v>51</v>
      </c>
    </row>
    <row r="12" spans="1:6" s="86" customFormat="1" ht="21.75" customHeight="1">
      <c r="A12" s="92"/>
      <c r="B12" s="90"/>
      <c r="C12" s="91"/>
      <c r="D12" s="91"/>
      <c r="E12" s="91"/>
      <c r="F12" s="98"/>
    </row>
    <row r="13" spans="1:6" s="86" customFormat="1" ht="19.5" customHeight="1">
      <c r="A13" s="92"/>
      <c r="B13" s="90"/>
      <c r="C13" s="91"/>
      <c r="D13" s="91"/>
      <c r="E13" s="91"/>
      <c r="F13" s="98"/>
    </row>
    <row r="14" spans="1:6" s="86" customFormat="1" ht="21.75" customHeight="1">
      <c r="A14" s="92"/>
      <c r="B14" s="90"/>
      <c r="C14" s="91"/>
      <c r="D14" s="91"/>
      <c r="E14" s="91"/>
      <c r="F14" s="98"/>
    </row>
    <row r="15" spans="1:6" s="86" customFormat="1" ht="19.5" customHeight="1">
      <c r="A15" s="92"/>
      <c r="B15" s="90"/>
      <c r="C15" s="91"/>
      <c r="D15" s="91"/>
      <c r="E15" s="91"/>
      <c r="F15" s="98"/>
    </row>
    <row r="16" spans="1:6" s="86" customFormat="1" ht="21.75" customHeight="1">
      <c r="A16" s="92"/>
      <c r="B16" s="90"/>
      <c r="C16" s="91"/>
      <c r="D16" s="91"/>
      <c r="E16" s="91"/>
      <c r="F16" s="98"/>
    </row>
    <row r="17" spans="1:6" s="86" customFormat="1" ht="19.5" customHeight="1">
      <c r="A17" s="93"/>
      <c r="B17" s="94"/>
      <c r="C17" s="95"/>
      <c r="D17" s="95"/>
      <c r="E17" s="95"/>
      <c r="F17" s="99"/>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21"/>
  <sheetViews>
    <sheetView topLeftCell="A5" workbookViewId="0">
      <selection activeCell="C10" sqref="C10"/>
    </sheetView>
  </sheetViews>
  <sheetFormatPr defaultColWidth="9" defaultRowHeight="13.2"/>
  <cols>
    <col min="1" max="1" width="1.33203125" style="1" customWidth="1"/>
    <col min="2" max="2" width="6.44140625" style="3" customWidth="1"/>
    <col min="3" max="3" width="26.44140625" style="4" customWidth="1"/>
    <col min="4" max="4" width="17.88671875" style="4" customWidth="1"/>
    <col min="5" max="5" width="47.44140625" style="4" customWidth="1"/>
    <col min="6" max="6" width="85.5546875" style="4" customWidth="1"/>
    <col min="7" max="16384" width="9" style="1"/>
  </cols>
  <sheetData>
    <row r="1" spans="2:6" ht="24.6">
      <c r="B1" s="5"/>
      <c r="D1" s="6" t="s">
        <v>13</v>
      </c>
      <c r="E1" s="7"/>
    </row>
    <row r="2" spans="2:6" ht="13.5" customHeight="1">
      <c r="B2" s="5"/>
      <c r="D2" s="8"/>
      <c r="E2" s="8"/>
    </row>
    <row r="3" spans="2:6">
      <c r="B3" s="130" t="s">
        <v>0</v>
      </c>
      <c r="C3" s="130"/>
      <c r="D3" s="131" t="str">
        <f>Cover!B4</f>
        <v>Ralsei Coach House System</v>
      </c>
      <c r="E3" s="131"/>
      <c r="F3" s="131"/>
    </row>
    <row r="4" spans="2:6">
      <c r="B4" s="130" t="s">
        <v>2</v>
      </c>
      <c r="C4" s="130"/>
      <c r="D4" s="131" t="str">
        <f>Cover!B5</f>
        <v>RCHS</v>
      </c>
      <c r="E4" s="131"/>
      <c r="F4" s="131"/>
    </row>
    <row r="5" spans="2:6" s="9" customFormat="1" ht="165" customHeight="1">
      <c r="B5" s="128" t="s">
        <v>14</v>
      </c>
      <c r="C5" s="128"/>
      <c r="D5" s="129" t="s">
        <v>66</v>
      </c>
      <c r="E5" s="129"/>
      <c r="F5" s="129"/>
    </row>
    <row r="6" spans="2:6">
      <c r="B6" s="10"/>
      <c r="C6" s="1"/>
      <c r="D6" s="1"/>
      <c r="E6" s="1"/>
      <c r="F6" s="1"/>
    </row>
    <row r="7" spans="2:6" s="11" customFormat="1">
      <c r="B7" s="12"/>
      <c r="C7" s="13"/>
      <c r="D7" s="13"/>
      <c r="E7" s="13"/>
      <c r="F7" s="13"/>
    </row>
    <row r="8" spans="2:6" s="14" customFormat="1" ht="21" customHeight="1">
      <c r="B8" s="15" t="s">
        <v>15</v>
      </c>
      <c r="C8" s="16" t="s">
        <v>16</v>
      </c>
      <c r="D8" s="16" t="s">
        <v>17</v>
      </c>
      <c r="E8" s="17" t="s">
        <v>18</v>
      </c>
      <c r="F8" s="18" t="s">
        <v>19</v>
      </c>
    </row>
    <row r="9" spans="2:6" ht="66">
      <c r="B9" s="19">
        <v>1</v>
      </c>
      <c r="C9" s="20" t="s">
        <v>60</v>
      </c>
      <c r="D9" s="140" t="s">
        <v>60</v>
      </c>
      <c r="E9" s="144" t="s">
        <v>68</v>
      </c>
      <c r="F9" s="143" t="s">
        <v>67</v>
      </c>
    </row>
    <row r="10" spans="2:6" ht="79.2">
      <c r="B10" s="19">
        <v>2</v>
      </c>
      <c r="C10" s="20" t="s">
        <v>127</v>
      </c>
      <c r="D10" s="140" t="s">
        <v>127</v>
      </c>
      <c r="E10" s="144" t="s">
        <v>128</v>
      </c>
      <c r="F10" s="143" t="s">
        <v>129</v>
      </c>
    </row>
    <row r="11" spans="2:6">
      <c r="B11" s="19">
        <v>3</v>
      </c>
      <c r="C11" s="20" t="s">
        <v>20</v>
      </c>
      <c r="D11" s="141" t="s">
        <v>54</v>
      </c>
      <c r="E11" s="21"/>
      <c r="F11" s="22"/>
    </row>
    <row r="12" spans="2:6">
      <c r="B12" s="19">
        <v>4</v>
      </c>
      <c r="C12" s="20" t="s">
        <v>21</v>
      </c>
      <c r="D12" s="141" t="s">
        <v>55</v>
      </c>
      <c r="E12" s="21"/>
      <c r="F12" s="22"/>
    </row>
    <row r="13" spans="2:6">
      <c r="B13" s="19">
        <v>5</v>
      </c>
      <c r="C13" s="20" t="s">
        <v>22</v>
      </c>
      <c r="D13" s="141" t="s">
        <v>55</v>
      </c>
      <c r="E13" s="21"/>
      <c r="F13" s="22"/>
    </row>
    <row r="14" spans="2:6">
      <c r="B14" s="19"/>
      <c r="C14" s="20"/>
      <c r="D14" s="142"/>
      <c r="E14" s="23"/>
      <c r="F14" s="22"/>
    </row>
    <row r="15" spans="2:6">
      <c r="B15" s="19"/>
      <c r="C15" s="20"/>
      <c r="D15" s="142"/>
      <c r="E15" s="23"/>
      <c r="F15" s="22"/>
    </row>
    <row r="16" spans="2:6">
      <c r="B16" s="19"/>
      <c r="C16" s="20"/>
      <c r="D16" s="142"/>
      <c r="E16" s="23"/>
      <c r="F16" s="22"/>
    </row>
    <row r="17" spans="2:6">
      <c r="B17" s="19"/>
      <c r="C17" s="20"/>
      <c r="D17" s="142"/>
      <c r="E17" s="23"/>
      <c r="F17" s="22"/>
    </row>
    <row r="18" spans="2:6">
      <c r="B18" s="19"/>
      <c r="C18" s="20"/>
      <c r="D18" s="23"/>
      <c r="E18" s="23"/>
      <c r="F18" s="22"/>
    </row>
    <row r="19" spans="2:6">
      <c r="B19" s="19"/>
      <c r="C19" s="20"/>
      <c r="D19" s="23"/>
      <c r="E19" s="23"/>
      <c r="F19" s="22"/>
    </row>
    <row r="20" spans="2:6">
      <c r="B20" s="19"/>
      <c r="C20" s="20"/>
      <c r="D20" s="23"/>
      <c r="E20" s="23"/>
      <c r="F20" s="22"/>
    </row>
    <row r="21" spans="2:6">
      <c r="B21" s="24"/>
      <c r="C21" s="25"/>
      <c r="D21" s="26"/>
      <c r="E21" s="26"/>
      <c r="F21" s="27"/>
    </row>
  </sheetData>
  <mergeCells count="6">
    <mergeCell ref="B5:C5"/>
    <mergeCell ref="D5:F5"/>
    <mergeCell ref="B3:C3"/>
    <mergeCell ref="D3:F3"/>
    <mergeCell ref="B4:C4"/>
    <mergeCell ref="D4:F4"/>
  </mergeCells>
  <phoneticPr fontId="0" type="noConversion"/>
  <hyperlinks>
    <hyperlink ref="D12" location="'Workflow Name2'!A1" display="Workflow Name2"/>
    <hyperlink ref="D11" location="'Workflow Name1'!A1" display="Workflow Name1"/>
    <hyperlink ref="D13" location="'Workflow Name2'!A1" display="Workflow Name2"/>
    <hyperlink ref="D9" location="'Workflow Coach'!A1" display="Workflow Name1"/>
    <hyperlink ref="D10" location="'Coach Type Management'!A1" display="Workflow Name1"/>
  </hyperlinks>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
  <sheetViews>
    <sheetView workbookViewId="0">
      <selection activeCell="F11" sqref="F11"/>
    </sheetView>
  </sheetViews>
  <sheetFormatPr defaultColWidth="9" defaultRowHeight="13.2"/>
  <cols>
    <col min="1" max="1" width="4.44140625" style="1" customWidth="1"/>
    <col min="2" max="2" width="18.33203125" style="1" customWidth="1"/>
    <col min="3" max="3" width="25.2187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35" t="s">
        <v>50</v>
      </c>
      <c r="C1" s="135"/>
      <c r="D1" s="135"/>
      <c r="E1" s="135"/>
      <c r="F1" s="135"/>
      <c r="G1" s="135"/>
      <c r="H1" s="135"/>
    </row>
    <row r="2" spans="1:8" ht="14.25" customHeight="1">
      <c r="A2" s="39"/>
      <c r="B2" s="39"/>
      <c r="C2" s="40"/>
      <c r="D2" s="40"/>
      <c r="E2" s="40"/>
      <c r="F2" s="40"/>
      <c r="G2" s="40"/>
      <c r="H2" s="41"/>
    </row>
    <row r="3" spans="1:8" ht="12" customHeight="1">
      <c r="B3" s="2" t="s">
        <v>0</v>
      </c>
      <c r="C3" s="132" t="str">
        <f>Cover!B4</f>
        <v>Ralsei Coach House System</v>
      </c>
      <c r="D3" s="132"/>
      <c r="E3" s="133" t="s">
        <v>1</v>
      </c>
      <c r="F3" s="133"/>
      <c r="G3" s="101"/>
      <c r="H3" s="102" t="str">
        <f>Cover!F4</f>
        <v>Doan Ngoc Duc, Le Thu Ha, Thanh, Trung</v>
      </c>
    </row>
    <row r="4" spans="1:8" ht="12" customHeight="1">
      <c r="B4" s="2" t="s">
        <v>2</v>
      </c>
      <c r="C4" s="132" t="str">
        <f>Cover!B5</f>
        <v>RCHS</v>
      </c>
      <c r="D4" s="132"/>
      <c r="E4" s="133" t="s">
        <v>3</v>
      </c>
      <c r="F4" s="133"/>
      <c r="G4" s="101"/>
      <c r="H4" s="103"/>
    </row>
    <row r="5" spans="1:8" ht="12" customHeight="1">
      <c r="B5" s="42" t="s">
        <v>4</v>
      </c>
      <c r="C5" s="132" t="str">
        <f>C4&amp;"_"&amp;"Test Report"&amp;"_"&amp;"vx.x"</f>
        <v>RCHS_Test Report_vx.x</v>
      </c>
      <c r="D5" s="132"/>
      <c r="E5" s="133" t="s">
        <v>5</v>
      </c>
      <c r="F5" s="133"/>
      <c r="G5" s="101"/>
      <c r="H5" s="104" t="str">
        <f>Cover!F5</f>
        <v>&lt;1/6/2026&gt;</v>
      </c>
    </row>
    <row r="6" spans="1:8" ht="21.75" customHeight="1">
      <c r="A6" s="39"/>
      <c r="B6" s="42" t="s">
        <v>30</v>
      </c>
      <c r="C6" s="134" t="s">
        <v>31</v>
      </c>
      <c r="D6" s="134"/>
      <c r="E6" s="134"/>
      <c r="F6" s="134"/>
      <c r="G6" s="134"/>
      <c r="H6" s="134"/>
    </row>
    <row r="7" spans="1:8" ht="14.25" customHeight="1">
      <c r="A7" s="39"/>
      <c r="B7" s="43"/>
      <c r="C7" s="44"/>
      <c r="D7" s="40"/>
      <c r="E7" s="40"/>
      <c r="F7" s="40"/>
      <c r="G7" s="40"/>
      <c r="H7" s="41"/>
    </row>
    <row r="8" spans="1:8">
      <c r="B8" s="43"/>
      <c r="C8" s="44"/>
      <c r="D8" s="40"/>
      <c r="E8" s="40"/>
      <c r="F8" s="40"/>
      <c r="G8" s="40"/>
      <c r="H8" s="41"/>
    </row>
    <row r="10" spans="1:8">
      <c r="A10" s="45"/>
      <c r="B10" s="105" t="s">
        <v>15</v>
      </c>
      <c r="C10" s="106" t="s">
        <v>32</v>
      </c>
      <c r="D10" s="107" t="s">
        <v>41</v>
      </c>
      <c r="E10" s="106" t="s">
        <v>42</v>
      </c>
      <c r="F10" s="106" t="s">
        <v>40</v>
      </c>
      <c r="G10" s="108" t="s">
        <v>26</v>
      </c>
      <c r="H10" s="109" t="s">
        <v>33</v>
      </c>
    </row>
    <row r="11" spans="1:8">
      <c r="A11" s="45"/>
      <c r="B11" s="110">
        <v>1</v>
      </c>
      <c r="C11" s="111" t="str">
        <f>'Coach Management'!B2</f>
        <v>Coach Management</v>
      </c>
      <c r="D11" s="100">
        <f>'Coach Management'!B6</f>
        <v>0</v>
      </c>
      <c r="E11" s="100">
        <f>'Coach Management'!C6</f>
        <v>0</v>
      </c>
      <c r="F11" s="100">
        <f>'Coach Management'!D6</f>
        <v>49</v>
      </c>
      <c r="G11" s="100">
        <f>'Coach Management'!E6</f>
        <v>0</v>
      </c>
      <c r="H11" s="112">
        <f>'Coach Management'!B4</f>
        <v>53</v>
      </c>
    </row>
    <row r="12" spans="1:8">
      <c r="A12" s="45"/>
      <c r="B12" s="110">
        <v>2</v>
      </c>
      <c r="C12" s="111" t="str">
        <f>'Coach Type Management'!B2</f>
        <v>Coach Type Management</v>
      </c>
      <c r="D12" s="100">
        <f>'Coach Type Management'!B6</f>
        <v>0</v>
      </c>
      <c r="E12" s="100">
        <f>'Coach Type Management'!C6</f>
        <v>0</v>
      </c>
      <c r="F12" s="100">
        <f>'Coach Type Management'!D6</f>
        <v>42</v>
      </c>
      <c r="G12" s="100">
        <f>'Coach Type Management'!E6</f>
        <v>0</v>
      </c>
      <c r="H12" s="112">
        <f>'Coach Type Management'!B4</f>
        <v>46</v>
      </c>
    </row>
    <row r="13" spans="1:8">
      <c r="A13" s="45"/>
      <c r="B13" s="110"/>
      <c r="C13" s="111"/>
      <c r="D13" s="100"/>
      <c r="E13" s="100"/>
      <c r="F13" s="100"/>
      <c r="G13" s="113"/>
      <c r="H13" s="112"/>
    </row>
    <row r="14" spans="1:8">
      <c r="A14" s="45"/>
      <c r="B14" s="114"/>
      <c r="C14" s="115" t="s">
        <v>34</v>
      </c>
      <c r="D14" s="116">
        <f>SUM(D9:D13)</f>
        <v>0</v>
      </c>
      <c r="E14" s="116">
        <f>SUM(E9:E13)</f>
        <v>0</v>
      </c>
      <c r="F14" s="116">
        <f>SUM(F9:F13)</f>
        <v>91</v>
      </c>
      <c r="G14" s="116">
        <f>SUM(G9:G13)</f>
        <v>0</v>
      </c>
      <c r="H14" s="117">
        <f>SUM(H9:H13)</f>
        <v>99</v>
      </c>
    </row>
    <row r="15" spans="1:8">
      <c r="B15" s="46"/>
      <c r="D15" s="47"/>
      <c r="E15" s="48"/>
      <c r="F15" s="48"/>
      <c r="G15" s="48"/>
      <c r="H15" s="48"/>
    </row>
    <row r="16" spans="1:8">
      <c r="C16" s="49" t="s">
        <v>35</v>
      </c>
      <c r="E16" s="50">
        <f>(D14+E14)*100/(H14-G14)</f>
        <v>0</v>
      </c>
      <c r="F16" s="1" t="s">
        <v>36</v>
      </c>
      <c r="H16" s="33"/>
    </row>
    <row r="17" spans="3:8">
      <c r="C17" s="49" t="s">
        <v>37</v>
      </c>
      <c r="E17" s="50">
        <f>D14*100/(H14-G14)</f>
        <v>0</v>
      </c>
      <c r="F17" s="1" t="s">
        <v>36</v>
      </c>
      <c r="H17" s="33"/>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R64"/>
  <sheetViews>
    <sheetView tabSelected="1" zoomScale="85" zoomScaleNormal="85" workbookViewId="0">
      <pane ySplit="10" topLeftCell="A63" activePane="bottomLeft" state="frozen"/>
      <selection pane="bottomLeft" activeCell="D68" sqref="D68"/>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32" style="1" customWidth="1"/>
    <col min="6" max="6" width="9.33203125" style="1" customWidth="1"/>
    <col min="7" max="7" width="10.6640625" style="1" customWidth="1" outlineLevel="1"/>
    <col min="8" max="8" width="7" style="1" bestFit="1" customWidth="1" outlineLevel="1"/>
    <col min="9" max="9" width="9.33203125" style="1" customWidth="1"/>
    <col min="10" max="10" width="10.6640625" style="1" customWidth="1" outlineLevel="1"/>
    <col min="11" max="11" width="7" style="1" bestFit="1" customWidth="1" outlineLevel="1"/>
    <col min="12" max="12" width="9.33203125" style="1" customWidth="1"/>
    <col min="13" max="13" width="10.6640625" style="1" customWidth="1" outlineLevel="1"/>
    <col min="14" max="14" width="7" style="1" bestFit="1" customWidth="1" outlineLevel="1"/>
    <col min="15" max="15" width="28.6640625" style="1" customWidth="1"/>
    <col min="16" max="16" width="10.109375" style="1" customWidth="1"/>
    <col min="17" max="17" width="8.109375" style="28" customWidth="1"/>
    <col min="18" max="18" width="7.6640625" style="1" hidden="1" customWidth="1"/>
    <col min="19" max="16384" width="9" style="1"/>
  </cols>
  <sheetData>
    <row r="1" spans="1:18" ht="13.8" thickBot="1"/>
    <row r="2" spans="1:18" s="30" customFormat="1" ht="15" customHeight="1">
      <c r="A2" s="66" t="s">
        <v>53</v>
      </c>
      <c r="B2" s="136" t="s">
        <v>60</v>
      </c>
      <c r="C2" s="136"/>
      <c r="D2" s="136"/>
      <c r="E2" s="137"/>
      <c r="F2" s="56"/>
      <c r="G2" s="51"/>
      <c r="H2" s="9"/>
      <c r="I2" s="56"/>
      <c r="J2" s="51"/>
      <c r="K2" s="9"/>
      <c r="L2" s="56"/>
      <c r="M2" s="51"/>
      <c r="N2" s="9"/>
      <c r="O2" s="9"/>
      <c r="P2" s="9"/>
      <c r="Q2" s="29"/>
      <c r="R2" s="30" t="s">
        <v>41</v>
      </c>
    </row>
    <row r="3" spans="1:18" s="30" customFormat="1" ht="26.4">
      <c r="A3" s="67" t="s">
        <v>23</v>
      </c>
      <c r="B3" s="138" t="s">
        <v>24</v>
      </c>
      <c r="C3" s="138"/>
      <c r="D3" s="138"/>
      <c r="E3" s="139"/>
      <c r="F3" s="56"/>
      <c r="G3" s="51"/>
      <c r="H3" s="9"/>
      <c r="I3" s="56"/>
      <c r="J3" s="51"/>
      <c r="K3" s="9"/>
      <c r="L3" s="56"/>
      <c r="M3" s="51"/>
      <c r="N3" s="9"/>
      <c r="O3" s="9"/>
      <c r="P3" s="9"/>
      <c r="Q3" s="29"/>
      <c r="R3" s="30" t="s">
        <v>42</v>
      </c>
    </row>
    <row r="4" spans="1:18" s="30" customFormat="1" ht="18" customHeight="1">
      <c r="A4" s="67" t="s">
        <v>49</v>
      </c>
      <c r="B4" s="138">
        <f>COUNTA(A12:A1024)</f>
        <v>53</v>
      </c>
      <c r="C4" s="138"/>
      <c r="D4" s="138"/>
      <c r="E4" s="139"/>
      <c r="F4" s="56"/>
      <c r="G4" s="51"/>
      <c r="H4" s="9"/>
      <c r="I4" s="56"/>
      <c r="J4" s="51"/>
      <c r="K4" s="9"/>
      <c r="L4" s="56"/>
      <c r="M4" s="51"/>
      <c r="N4" s="9"/>
      <c r="O4" s="9"/>
      <c r="P4" s="9"/>
      <c r="Q4" s="29"/>
      <c r="R4" s="30" t="s">
        <v>40</v>
      </c>
    </row>
    <row r="5" spans="1:18" s="30" customFormat="1" ht="19.5" customHeight="1">
      <c r="A5" s="60" t="s">
        <v>43</v>
      </c>
      <c r="B5" s="58" t="s">
        <v>41</v>
      </c>
      <c r="C5" s="58" t="s">
        <v>42</v>
      </c>
      <c r="D5" s="58" t="s">
        <v>40</v>
      </c>
      <c r="E5" s="61" t="s">
        <v>26</v>
      </c>
      <c r="F5" s="52"/>
      <c r="G5" s="52"/>
      <c r="H5" s="31"/>
      <c r="I5" s="52"/>
      <c r="J5" s="52"/>
      <c r="K5" s="31"/>
      <c r="L5" s="52"/>
      <c r="M5" s="52"/>
      <c r="N5" s="31"/>
      <c r="O5" s="31"/>
      <c r="P5" s="31"/>
      <c r="Q5" s="32"/>
      <c r="R5" s="30" t="s">
        <v>26</v>
      </c>
    </row>
    <row r="6" spans="1:18" s="30" customFormat="1" ht="15" customHeight="1">
      <c r="A6" s="60" t="s">
        <v>44</v>
      </c>
      <c r="B6" s="59">
        <f>COUNTIF($F10:$F1022,B5)</f>
        <v>0</v>
      </c>
      <c r="C6" s="59">
        <f>COUNTIF($F10:$F1022,C5)</f>
        <v>0</v>
      </c>
      <c r="D6" s="59">
        <f>COUNTIF($F10:$F1022,D5)</f>
        <v>49</v>
      </c>
      <c r="E6" s="65">
        <f>COUNTIF($F10:$F1022,E5)</f>
        <v>0</v>
      </c>
      <c r="F6" s="53"/>
      <c r="G6" s="53"/>
      <c r="H6" s="31"/>
      <c r="I6" s="53"/>
      <c r="J6" s="53"/>
      <c r="K6" s="31"/>
      <c r="L6" s="53"/>
      <c r="M6" s="53"/>
      <c r="N6" s="31"/>
      <c r="O6" s="31"/>
      <c r="P6" s="31"/>
      <c r="Q6" s="32"/>
    </row>
    <row r="7" spans="1:18" s="30" customFormat="1" ht="15" customHeight="1">
      <c r="A7" s="60" t="s">
        <v>46</v>
      </c>
      <c r="B7" s="59">
        <f>COUNTIF($F10:$F1022,B5)</f>
        <v>0</v>
      </c>
      <c r="C7" s="59">
        <f>COUNTIF($F10:$F1022,C5)</f>
        <v>0</v>
      </c>
      <c r="D7" s="59">
        <f>COUNTIF($F10:$F1022,D5)</f>
        <v>49</v>
      </c>
      <c r="E7" s="65">
        <f>COUNTIF($F10:$F1022,E5)</f>
        <v>0</v>
      </c>
      <c r="F7" s="53"/>
      <c r="G7" s="53"/>
      <c r="H7" s="31"/>
      <c r="I7" s="53"/>
      <c r="J7" s="53"/>
      <c r="K7" s="31"/>
      <c r="L7" s="53"/>
      <c r="M7" s="53"/>
      <c r="N7" s="31"/>
      <c r="O7" s="31"/>
      <c r="P7" s="31"/>
      <c r="Q7" s="32"/>
    </row>
    <row r="8" spans="1:18" s="30" customFormat="1" ht="15" customHeight="1" thickBot="1">
      <c r="A8" s="62" t="s">
        <v>47</v>
      </c>
      <c r="B8" s="63">
        <f>COUNTIF($F10:$F1022,B5)</f>
        <v>0</v>
      </c>
      <c r="C8" s="63">
        <f>COUNTIF($F10:$F1022,C5)</f>
        <v>0</v>
      </c>
      <c r="D8" s="63">
        <f>COUNTIF($F10:$F1022,D5)</f>
        <v>49</v>
      </c>
      <c r="E8" s="64">
        <f>COUNTIF($F10:$F1022,E5)</f>
        <v>0</v>
      </c>
      <c r="F8" s="53"/>
      <c r="G8" s="53"/>
      <c r="H8" s="31"/>
      <c r="I8" s="53"/>
      <c r="J8" s="53"/>
      <c r="K8" s="31"/>
      <c r="L8" s="53"/>
      <c r="M8" s="53"/>
      <c r="N8" s="31"/>
      <c r="O8" s="31"/>
      <c r="P8" s="31"/>
      <c r="Q8" s="32"/>
    </row>
    <row r="9" spans="1:18" s="30" customFormat="1" ht="15" customHeight="1">
      <c r="A9" s="31"/>
      <c r="B9" s="31"/>
      <c r="C9" s="31"/>
      <c r="D9" s="31"/>
      <c r="E9" s="31"/>
      <c r="F9" s="33"/>
      <c r="G9" s="31"/>
      <c r="H9" s="31"/>
      <c r="I9" s="33"/>
      <c r="J9" s="31"/>
      <c r="K9" s="31"/>
      <c r="L9" s="33"/>
      <c r="M9" s="31"/>
      <c r="N9" s="31"/>
      <c r="O9" s="31"/>
      <c r="P9" s="31"/>
      <c r="Q9" s="32"/>
    </row>
    <row r="10" spans="1:18" s="30" customFormat="1" ht="25.5" customHeight="1">
      <c r="A10" s="57" t="s">
        <v>48</v>
      </c>
      <c r="B10" s="57" t="s">
        <v>27</v>
      </c>
      <c r="C10" s="57" t="s">
        <v>39</v>
      </c>
      <c r="D10" s="57" t="s">
        <v>38</v>
      </c>
      <c r="E10" s="57" t="s">
        <v>45</v>
      </c>
      <c r="F10" s="57" t="s">
        <v>44</v>
      </c>
      <c r="G10" s="57" t="s">
        <v>28</v>
      </c>
      <c r="H10" s="57" t="s">
        <v>25</v>
      </c>
      <c r="I10" s="57" t="s">
        <v>46</v>
      </c>
      <c r="J10" s="57" t="s">
        <v>28</v>
      </c>
      <c r="K10" s="57" t="s">
        <v>25</v>
      </c>
      <c r="L10" s="57" t="s">
        <v>47</v>
      </c>
      <c r="M10" s="57" t="s">
        <v>28</v>
      </c>
      <c r="N10" s="57" t="s">
        <v>25</v>
      </c>
      <c r="O10" s="57" t="s">
        <v>29</v>
      </c>
      <c r="Q10" s="34"/>
    </row>
    <row r="11" spans="1:18" s="30" customFormat="1" ht="15.75" customHeight="1">
      <c r="A11" s="118" t="s">
        <v>72</v>
      </c>
      <c r="B11" s="118"/>
      <c r="C11" s="119"/>
      <c r="D11" s="119"/>
      <c r="E11" s="119"/>
      <c r="F11" s="54"/>
      <c r="G11" s="54"/>
      <c r="H11" s="54"/>
      <c r="I11" s="54"/>
      <c r="J11" s="54"/>
      <c r="K11" s="54"/>
      <c r="L11" s="54"/>
      <c r="M11" s="54"/>
      <c r="N11" s="54"/>
      <c r="O11" s="55"/>
      <c r="Q11" s="37"/>
    </row>
    <row r="12" spans="1:18" ht="66" outlineLevel="1">
      <c r="A12" s="146" t="s">
        <v>69</v>
      </c>
      <c r="B12" s="147" t="s">
        <v>319</v>
      </c>
      <c r="C12" s="147" t="s">
        <v>320</v>
      </c>
      <c r="D12" s="147" t="s">
        <v>321</v>
      </c>
      <c r="E12" s="147" t="s">
        <v>322</v>
      </c>
      <c r="F12" s="120" t="s">
        <v>40</v>
      </c>
      <c r="G12" s="121"/>
      <c r="H12" s="121"/>
      <c r="I12" s="121" t="s">
        <v>40</v>
      </c>
      <c r="J12" s="121"/>
      <c r="K12" s="121"/>
      <c r="L12" s="121" t="s">
        <v>40</v>
      </c>
      <c r="M12" s="121"/>
      <c r="N12" s="121"/>
      <c r="O12" s="122"/>
      <c r="Q12" s="38"/>
    </row>
    <row r="13" spans="1:18" ht="26.4" outlineLevel="1">
      <c r="A13" s="146" t="s">
        <v>70</v>
      </c>
      <c r="B13" s="147" t="s">
        <v>323</v>
      </c>
      <c r="C13" s="147" t="s">
        <v>324</v>
      </c>
      <c r="D13" s="147" t="s">
        <v>325</v>
      </c>
      <c r="E13" s="147" t="s">
        <v>326</v>
      </c>
      <c r="F13" s="120" t="s">
        <v>40</v>
      </c>
      <c r="G13" s="121"/>
      <c r="H13" s="121"/>
      <c r="I13" s="121" t="s">
        <v>40</v>
      </c>
      <c r="J13" s="121"/>
      <c r="K13" s="121"/>
      <c r="L13" s="121" t="s">
        <v>40</v>
      </c>
      <c r="M13" s="121"/>
      <c r="N13" s="121"/>
      <c r="O13" s="122"/>
      <c r="Q13" s="38"/>
    </row>
    <row r="14" spans="1:18" ht="26.4" outlineLevel="1">
      <c r="A14" s="146" t="s">
        <v>71</v>
      </c>
      <c r="B14" s="147" t="s">
        <v>327</v>
      </c>
      <c r="C14" s="147" t="s">
        <v>328</v>
      </c>
      <c r="D14" s="147" t="s">
        <v>73</v>
      </c>
      <c r="E14" s="147" t="s">
        <v>326</v>
      </c>
      <c r="F14" s="120" t="s">
        <v>40</v>
      </c>
      <c r="G14" s="121"/>
      <c r="H14" s="121"/>
      <c r="I14" s="121" t="s">
        <v>40</v>
      </c>
      <c r="J14" s="121"/>
      <c r="K14" s="121"/>
      <c r="L14" s="121" t="s">
        <v>40</v>
      </c>
      <c r="M14" s="121"/>
      <c r="N14" s="121"/>
      <c r="O14" s="122"/>
      <c r="Q14" s="38"/>
    </row>
    <row r="15" spans="1:18" ht="39.6" outlineLevel="1">
      <c r="A15" s="146" t="s">
        <v>74</v>
      </c>
      <c r="B15" s="147" t="s">
        <v>329</v>
      </c>
      <c r="C15" s="147" t="s">
        <v>330</v>
      </c>
      <c r="D15" s="147" t="s">
        <v>331</v>
      </c>
      <c r="E15" s="147" t="s">
        <v>326</v>
      </c>
      <c r="F15" s="120" t="s">
        <v>40</v>
      </c>
      <c r="G15" s="121"/>
      <c r="H15" s="121"/>
      <c r="I15" s="121" t="s">
        <v>40</v>
      </c>
      <c r="J15" s="121"/>
      <c r="K15" s="121"/>
      <c r="L15" s="121" t="s">
        <v>40</v>
      </c>
      <c r="M15" s="121"/>
      <c r="N15" s="121"/>
      <c r="O15" s="122"/>
      <c r="Q15" s="38"/>
    </row>
    <row r="16" spans="1:18" ht="39.6" outlineLevel="1">
      <c r="A16" s="146" t="s">
        <v>75</v>
      </c>
      <c r="B16" s="147" t="s">
        <v>332</v>
      </c>
      <c r="C16" s="147" t="s">
        <v>333</v>
      </c>
      <c r="D16" s="147" t="s">
        <v>334</v>
      </c>
      <c r="E16" s="147" t="s">
        <v>326</v>
      </c>
      <c r="F16" s="120" t="s">
        <v>40</v>
      </c>
      <c r="G16" s="121"/>
      <c r="H16" s="121"/>
      <c r="I16" s="121" t="s">
        <v>40</v>
      </c>
      <c r="J16" s="121"/>
      <c r="K16" s="121"/>
      <c r="L16" s="121" t="s">
        <v>40</v>
      </c>
      <c r="M16" s="121"/>
      <c r="N16" s="121"/>
      <c r="O16" s="122"/>
      <c r="Q16" s="38"/>
    </row>
    <row r="17" spans="1:17" ht="26.4" outlineLevel="1">
      <c r="A17" s="146" t="s">
        <v>78</v>
      </c>
      <c r="B17" s="147" t="s">
        <v>76</v>
      </c>
      <c r="C17" s="147" t="s">
        <v>335</v>
      </c>
      <c r="D17" s="147" t="s">
        <v>77</v>
      </c>
      <c r="E17" s="147" t="s">
        <v>336</v>
      </c>
      <c r="F17" s="120" t="s">
        <v>40</v>
      </c>
      <c r="G17" s="121"/>
      <c r="H17" s="121"/>
      <c r="I17" s="121" t="s">
        <v>40</v>
      </c>
      <c r="J17" s="121"/>
      <c r="K17" s="121"/>
      <c r="L17" s="121" t="s">
        <v>40</v>
      </c>
      <c r="M17" s="121"/>
      <c r="N17" s="121"/>
      <c r="O17" s="122"/>
      <c r="Q17" s="38"/>
    </row>
    <row r="18" spans="1:17" ht="26.4" outlineLevel="1">
      <c r="A18" s="146" t="s">
        <v>80</v>
      </c>
      <c r="B18" s="147" t="s">
        <v>79</v>
      </c>
      <c r="C18" s="147" t="s">
        <v>337</v>
      </c>
      <c r="D18" s="147" t="s">
        <v>338</v>
      </c>
      <c r="E18" s="147" t="s">
        <v>326</v>
      </c>
      <c r="F18" s="120" t="s">
        <v>40</v>
      </c>
      <c r="G18" s="121"/>
      <c r="H18" s="121"/>
      <c r="I18" s="121" t="s">
        <v>40</v>
      </c>
      <c r="J18" s="121"/>
      <c r="K18" s="121"/>
      <c r="L18" s="121" t="s">
        <v>40</v>
      </c>
      <c r="M18" s="121"/>
      <c r="N18" s="121"/>
      <c r="O18" s="122"/>
      <c r="Q18" s="38"/>
    </row>
    <row r="19" spans="1:17" ht="26.4" outlineLevel="1">
      <c r="A19" s="146" t="s">
        <v>82</v>
      </c>
      <c r="B19" s="147" t="s">
        <v>81</v>
      </c>
      <c r="C19" s="147" t="s">
        <v>339</v>
      </c>
      <c r="D19" s="147" t="s">
        <v>340</v>
      </c>
      <c r="E19" s="147" t="s">
        <v>326</v>
      </c>
      <c r="F19" s="120" t="s">
        <v>40</v>
      </c>
      <c r="G19" s="121"/>
      <c r="H19" s="121"/>
      <c r="I19" s="121" t="s">
        <v>40</v>
      </c>
      <c r="J19" s="121"/>
      <c r="K19" s="121"/>
      <c r="L19" s="121" t="s">
        <v>40</v>
      </c>
      <c r="M19" s="121"/>
      <c r="N19" s="121"/>
      <c r="O19" s="122"/>
      <c r="Q19" s="38"/>
    </row>
    <row r="20" spans="1:17" ht="26.4" outlineLevel="1">
      <c r="A20" s="146" t="s">
        <v>85</v>
      </c>
      <c r="B20" s="147" t="s">
        <v>341</v>
      </c>
      <c r="C20" s="147" t="s">
        <v>342</v>
      </c>
      <c r="D20" s="147" t="s">
        <v>343</v>
      </c>
      <c r="E20" s="147" t="s">
        <v>326</v>
      </c>
      <c r="F20" s="120" t="s">
        <v>40</v>
      </c>
      <c r="G20" s="121"/>
      <c r="H20" s="121"/>
      <c r="I20" s="121" t="s">
        <v>40</v>
      </c>
      <c r="J20" s="121"/>
      <c r="K20" s="121"/>
      <c r="L20" s="121" t="s">
        <v>40</v>
      </c>
      <c r="M20" s="121"/>
      <c r="N20" s="121"/>
      <c r="O20" s="122"/>
      <c r="Q20" s="38"/>
    </row>
    <row r="21" spans="1:17" ht="26.4" outlineLevel="1">
      <c r="A21" s="146" t="s">
        <v>88</v>
      </c>
      <c r="B21" s="147" t="s">
        <v>344</v>
      </c>
      <c r="C21" s="147" t="s">
        <v>345</v>
      </c>
      <c r="D21" s="147" t="s">
        <v>343</v>
      </c>
      <c r="E21" s="147" t="s">
        <v>326</v>
      </c>
      <c r="F21" s="120" t="s">
        <v>40</v>
      </c>
      <c r="G21" s="121"/>
      <c r="H21" s="121"/>
      <c r="I21" s="121" t="s">
        <v>40</v>
      </c>
      <c r="J21" s="121"/>
      <c r="K21" s="121"/>
      <c r="L21" s="121" t="s">
        <v>40</v>
      </c>
      <c r="M21" s="121"/>
      <c r="N21" s="121"/>
      <c r="O21" s="122"/>
      <c r="Q21" s="38"/>
    </row>
    <row r="22" spans="1:17" ht="26.4" outlineLevel="1">
      <c r="A22" s="146" t="s">
        <v>90</v>
      </c>
      <c r="B22" s="147" t="s">
        <v>346</v>
      </c>
      <c r="C22" s="147" t="s">
        <v>347</v>
      </c>
      <c r="D22" s="147" t="s">
        <v>348</v>
      </c>
      <c r="E22" s="147" t="s">
        <v>326</v>
      </c>
      <c r="F22" s="120" t="s">
        <v>40</v>
      </c>
      <c r="G22" s="121"/>
      <c r="H22" s="121"/>
      <c r="I22" s="121" t="s">
        <v>40</v>
      </c>
      <c r="J22" s="121"/>
      <c r="K22" s="121"/>
      <c r="L22" s="121" t="s">
        <v>40</v>
      </c>
      <c r="M22" s="121"/>
      <c r="N22" s="121"/>
      <c r="O22" s="122"/>
      <c r="Q22" s="38"/>
    </row>
    <row r="23" spans="1:17" ht="26.4" outlineLevel="1">
      <c r="A23" s="146" t="s">
        <v>92</v>
      </c>
      <c r="B23" s="147" t="s">
        <v>83</v>
      </c>
      <c r="C23" s="147" t="s">
        <v>349</v>
      </c>
      <c r="D23" s="147" t="s">
        <v>350</v>
      </c>
      <c r="E23" s="147" t="s">
        <v>326</v>
      </c>
      <c r="F23" s="120" t="s">
        <v>40</v>
      </c>
      <c r="G23" s="121"/>
      <c r="H23" s="121"/>
      <c r="I23" s="121" t="s">
        <v>40</v>
      </c>
      <c r="J23" s="121"/>
      <c r="K23" s="121"/>
      <c r="L23" s="121" t="s">
        <v>40</v>
      </c>
      <c r="M23" s="121"/>
      <c r="N23" s="121"/>
      <c r="O23" s="122"/>
      <c r="Q23" s="38"/>
    </row>
    <row r="24" spans="1:17" ht="39.6" outlineLevel="1">
      <c r="A24" s="146" t="s">
        <v>94</v>
      </c>
      <c r="B24" s="147" t="s">
        <v>351</v>
      </c>
      <c r="C24" s="147" t="s">
        <v>352</v>
      </c>
      <c r="D24" s="147" t="s">
        <v>353</v>
      </c>
      <c r="E24" s="147" t="s">
        <v>326</v>
      </c>
      <c r="F24" s="120" t="s">
        <v>40</v>
      </c>
      <c r="G24" s="121"/>
      <c r="H24" s="121"/>
      <c r="I24" s="121" t="s">
        <v>40</v>
      </c>
      <c r="J24" s="121"/>
      <c r="K24" s="121"/>
      <c r="L24" s="121" t="s">
        <v>40</v>
      </c>
      <c r="M24" s="121"/>
      <c r="N24" s="121"/>
      <c r="O24" s="122"/>
      <c r="Q24" s="38"/>
    </row>
    <row r="25" spans="1:17" ht="52.8" outlineLevel="1">
      <c r="A25" s="146" t="s">
        <v>96</v>
      </c>
      <c r="B25" s="147" t="s">
        <v>354</v>
      </c>
      <c r="C25" s="147" t="s">
        <v>355</v>
      </c>
      <c r="D25" s="147" t="s">
        <v>356</v>
      </c>
      <c r="E25" s="147" t="s">
        <v>326</v>
      </c>
      <c r="F25" s="120" t="s">
        <v>40</v>
      </c>
      <c r="G25" s="121"/>
      <c r="H25" s="121"/>
      <c r="I25" s="121" t="s">
        <v>40</v>
      </c>
      <c r="J25" s="121"/>
      <c r="K25" s="121"/>
      <c r="L25" s="121" t="s">
        <v>40</v>
      </c>
      <c r="M25" s="121"/>
      <c r="N25" s="121"/>
      <c r="O25" s="122"/>
      <c r="Q25" s="38"/>
    </row>
    <row r="26" spans="1:17" ht="52.8" outlineLevel="1">
      <c r="A26" s="146" t="s">
        <v>97</v>
      </c>
      <c r="B26" s="147" t="s">
        <v>357</v>
      </c>
      <c r="C26" s="147" t="s">
        <v>358</v>
      </c>
      <c r="D26" s="147" t="s">
        <v>359</v>
      </c>
      <c r="E26" s="147" t="s">
        <v>139</v>
      </c>
      <c r="F26" s="120" t="s">
        <v>40</v>
      </c>
      <c r="G26" s="121"/>
      <c r="H26" s="121"/>
      <c r="I26" s="121" t="s">
        <v>40</v>
      </c>
      <c r="J26" s="121"/>
      <c r="K26" s="121"/>
      <c r="L26" s="121" t="s">
        <v>40</v>
      </c>
      <c r="M26" s="121"/>
      <c r="N26" s="121"/>
      <c r="O26" s="122"/>
      <c r="Q26" s="38"/>
    </row>
    <row r="27" spans="1:17" s="30" customFormat="1" ht="15.75" customHeight="1">
      <c r="A27" s="118" t="s">
        <v>84</v>
      </c>
      <c r="B27" s="118"/>
      <c r="C27" s="119"/>
      <c r="D27" s="119"/>
      <c r="E27" s="119"/>
      <c r="F27" s="119"/>
      <c r="G27" s="119"/>
      <c r="H27" s="119"/>
      <c r="I27" s="119"/>
      <c r="J27" s="119"/>
      <c r="K27" s="119"/>
      <c r="L27" s="119"/>
      <c r="M27" s="119"/>
      <c r="N27" s="119"/>
      <c r="O27" s="119"/>
      <c r="Q27" s="37"/>
    </row>
    <row r="28" spans="1:17" ht="26.4" outlineLevel="1">
      <c r="A28" s="146" t="s">
        <v>99</v>
      </c>
      <c r="B28" s="147" t="s">
        <v>86</v>
      </c>
      <c r="C28" s="147" t="s">
        <v>87</v>
      </c>
      <c r="D28" s="147" t="s">
        <v>360</v>
      </c>
      <c r="E28" s="147" t="s">
        <v>361</v>
      </c>
      <c r="F28" s="120" t="s">
        <v>40</v>
      </c>
      <c r="G28" s="121"/>
      <c r="H28" s="121"/>
      <c r="I28" s="121" t="s">
        <v>40</v>
      </c>
      <c r="J28" s="121"/>
      <c r="K28" s="121"/>
      <c r="L28" s="121" t="s">
        <v>40</v>
      </c>
      <c r="M28" s="121"/>
      <c r="N28" s="121"/>
      <c r="O28" s="122"/>
      <c r="Q28" s="38"/>
    </row>
    <row r="29" spans="1:17" ht="26.4" outlineLevel="1">
      <c r="A29" s="146" t="s">
        <v>101</v>
      </c>
      <c r="B29" s="147" t="s">
        <v>89</v>
      </c>
      <c r="C29" s="147" t="s">
        <v>362</v>
      </c>
      <c r="D29" s="147" t="s">
        <v>363</v>
      </c>
      <c r="E29" s="147" t="s">
        <v>361</v>
      </c>
      <c r="F29" s="120" t="s">
        <v>40</v>
      </c>
      <c r="G29" s="121"/>
      <c r="H29" s="121"/>
      <c r="I29" s="121" t="s">
        <v>40</v>
      </c>
      <c r="J29" s="121"/>
      <c r="K29" s="121"/>
      <c r="L29" s="121" t="s">
        <v>40</v>
      </c>
      <c r="M29" s="121"/>
      <c r="N29" s="121"/>
      <c r="O29" s="122"/>
      <c r="Q29" s="38"/>
    </row>
    <row r="30" spans="1:17" ht="39.6" outlineLevel="1">
      <c r="A30" s="146" t="s">
        <v>104</v>
      </c>
      <c r="B30" s="147" t="s">
        <v>364</v>
      </c>
      <c r="C30" s="147" t="s">
        <v>365</v>
      </c>
      <c r="D30" s="147" t="s">
        <v>366</v>
      </c>
      <c r="E30" s="147" t="s">
        <v>367</v>
      </c>
      <c r="F30" s="120" t="s">
        <v>40</v>
      </c>
      <c r="G30" s="121"/>
      <c r="H30" s="121"/>
      <c r="I30" s="121" t="s">
        <v>40</v>
      </c>
      <c r="J30" s="121"/>
      <c r="K30" s="121"/>
      <c r="L30" s="121" t="s">
        <v>40</v>
      </c>
      <c r="M30" s="121"/>
      <c r="N30" s="121"/>
      <c r="O30" s="122"/>
      <c r="Q30" s="38"/>
    </row>
    <row r="31" spans="1:17" ht="26.4" outlineLevel="1">
      <c r="A31" s="146" t="s">
        <v>106</v>
      </c>
      <c r="B31" s="147" t="s">
        <v>368</v>
      </c>
      <c r="C31" s="147" t="s">
        <v>369</v>
      </c>
      <c r="D31" s="147" t="s">
        <v>370</v>
      </c>
      <c r="E31" s="147" t="s">
        <v>371</v>
      </c>
      <c r="F31" s="120" t="s">
        <v>40</v>
      </c>
      <c r="G31" s="121"/>
      <c r="H31" s="121"/>
      <c r="I31" s="121" t="s">
        <v>40</v>
      </c>
      <c r="J31" s="121"/>
      <c r="K31" s="121"/>
      <c r="L31" s="121" t="s">
        <v>40</v>
      </c>
      <c r="M31" s="121"/>
      <c r="N31" s="121"/>
      <c r="O31" s="122"/>
      <c r="Q31" s="38"/>
    </row>
    <row r="32" spans="1:17" ht="26.4" outlineLevel="1">
      <c r="A32" s="146" t="s">
        <v>107</v>
      </c>
      <c r="B32" s="147" t="s">
        <v>91</v>
      </c>
      <c r="C32" s="147" t="s">
        <v>372</v>
      </c>
      <c r="D32" s="147" t="s">
        <v>373</v>
      </c>
      <c r="E32" s="147" t="s">
        <v>361</v>
      </c>
      <c r="F32" s="120" t="s">
        <v>40</v>
      </c>
      <c r="G32" s="121"/>
      <c r="H32" s="121"/>
      <c r="I32" s="121" t="s">
        <v>40</v>
      </c>
      <c r="J32" s="121"/>
      <c r="K32" s="121"/>
      <c r="L32" s="121" t="s">
        <v>40</v>
      </c>
      <c r="M32" s="121"/>
      <c r="N32" s="121"/>
      <c r="O32" s="122"/>
      <c r="Q32" s="38"/>
    </row>
    <row r="33" spans="1:17" ht="39.6" outlineLevel="1">
      <c r="A33" s="146" t="s">
        <v>111</v>
      </c>
      <c r="B33" s="147" t="s">
        <v>374</v>
      </c>
      <c r="C33" s="147" t="s">
        <v>375</v>
      </c>
      <c r="D33" s="147" t="s">
        <v>376</v>
      </c>
      <c r="E33" s="147" t="s">
        <v>377</v>
      </c>
      <c r="F33" s="120" t="s">
        <v>40</v>
      </c>
      <c r="G33" s="121"/>
      <c r="H33" s="121"/>
      <c r="I33" s="121" t="s">
        <v>40</v>
      </c>
      <c r="J33" s="121"/>
      <c r="K33" s="121"/>
      <c r="L33" s="121" t="s">
        <v>40</v>
      </c>
      <c r="M33" s="121"/>
      <c r="N33" s="121"/>
      <c r="O33" s="122"/>
      <c r="Q33" s="38"/>
    </row>
    <row r="34" spans="1:17" ht="26.4" outlineLevel="1">
      <c r="A34" s="146" t="s">
        <v>113</v>
      </c>
      <c r="B34" s="147" t="s">
        <v>383</v>
      </c>
      <c r="C34" s="147" t="s">
        <v>378</v>
      </c>
      <c r="D34" s="147" t="s">
        <v>379</v>
      </c>
      <c r="E34" s="147" t="s">
        <v>380</v>
      </c>
      <c r="F34" s="120" t="s">
        <v>40</v>
      </c>
      <c r="G34" s="121"/>
      <c r="H34" s="121"/>
      <c r="I34" s="121" t="s">
        <v>40</v>
      </c>
      <c r="J34" s="121"/>
      <c r="K34" s="121"/>
      <c r="L34" s="121" t="s">
        <v>40</v>
      </c>
      <c r="M34" s="121"/>
      <c r="N34" s="121"/>
      <c r="O34" s="122"/>
      <c r="Q34" s="38"/>
    </row>
    <row r="35" spans="1:17" ht="39.6" outlineLevel="1">
      <c r="A35" s="146" t="s">
        <v>116</v>
      </c>
      <c r="B35" s="147" t="s">
        <v>93</v>
      </c>
      <c r="C35" s="147" t="s">
        <v>381</v>
      </c>
      <c r="D35" s="147" t="s">
        <v>382</v>
      </c>
      <c r="E35" s="147" t="s">
        <v>361</v>
      </c>
      <c r="F35" s="120" t="s">
        <v>40</v>
      </c>
      <c r="G35" s="121"/>
      <c r="H35" s="121"/>
      <c r="I35" s="121" t="s">
        <v>40</v>
      </c>
      <c r="J35" s="121"/>
      <c r="K35" s="121"/>
      <c r="L35" s="121" t="s">
        <v>40</v>
      </c>
      <c r="M35" s="121"/>
      <c r="N35" s="121"/>
      <c r="O35" s="122"/>
      <c r="Q35" s="38"/>
    </row>
    <row r="36" spans="1:17" s="30" customFormat="1" ht="15.75" customHeight="1">
      <c r="A36" s="118" t="s">
        <v>102</v>
      </c>
      <c r="B36" s="118"/>
      <c r="C36" s="119"/>
      <c r="D36" s="119"/>
      <c r="E36" s="119"/>
      <c r="F36" s="119"/>
      <c r="G36" s="119"/>
      <c r="H36" s="119"/>
      <c r="I36" s="119"/>
      <c r="J36" s="119"/>
      <c r="K36" s="119"/>
      <c r="L36" s="119"/>
      <c r="M36" s="119"/>
      <c r="N36" s="119"/>
      <c r="O36" s="119"/>
      <c r="Q36" s="37"/>
    </row>
    <row r="37" spans="1:17" ht="39.6" outlineLevel="1">
      <c r="A37" s="146" t="s">
        <v>118</v>
      </c>
      <c r="B37" s="147" t="s">
        <v>95</v>
      </c>
      <c r="C37" s="147" t="s">
        <v>384</v>
      </c>
      <c r="D37" s="147" t="s">
        <v>385</v>
      </c>
      <c r="E37" s="147" t="s">
        <v>386</v>
      </c>
      <c r="F37" s="120" t="s">
        <v>40</v>
      </c>
      <c r="G37" s="121"/>
      <c r="H37" s="121"/>
      <c r="I37" s="121" t="s">
        <v>40</v>
      </c>
      <c r="J37" s="121"/>
      <c r="K37" s="121"/>
      <c r="L37" s="121" t="s">
        <v>40</v>
      </c>
      <c r="M37" s="121"/>
      <c r="N37" s="121"/>
      <c r="O37" s="122"/>
      <c r="Q37" s="38"/>
    </row>
    <row r="38" spans="1:17" ht="26.4" outlineLevel="1">
      <c r="A38" s="146" t="s">
        <v>119</v>
      </c>
      <c r="B38" s="147" t="s">
        <v>387</v>
      </c>
      <c r="C38" s="147" t="s">
        <v>388</v>
      </c>
      <c r="D38" s="147" t="s">
        <v>389</v>
      </c>
      <c r="E38" s="147" t="s">
        <v>390</v>
      </c>
      <c r="F38" s="120" t="s">
        <v>40</v>
      </c>
      <c r="G38" s="121"/>
      <c r="H38" s="121"/>
      <c r="I38" s="121" t="s">
        <v>40</v>
      </c>
      <c r="J38" s="121"/>
      <c r="K38" s="121"/>
      <c r="L38" s="121" t="s">
        <v>40</v>
      </c>
      <c r="M38" s="121"/>
      <c r="N38" s="121"/>
      <c r="O38" s="122"/>
      <c r="Q38" s="38"/>
    </row>
    <row r="39" spans="1:17" ht="39.6" outlineLevel="1">
      <c r="A39" s="146" t="s">
        <v>120</v>
      </c>
      <c r="B39" s="147" t="s">
        <v>98</v>
      </c>
      <c r="C39" s="147" t="s">
        <v>391</v>
      </c>
      <c r="D39" s="147" t="s">
        <v>392</v>
      </c>
      <c r="E39" s="147" t="s">
        <v>393</v>
      </c>
      <c r="F39" s="120" t="s">
        <v>40</v>
      </c>
      <c r="G39" s="121"/>
      <c r="H39" s="121"/>
      <c r="I39" s="121" t="s">
        <v>40</v>
      </c>
      <c r="J39" s="121"/>
      <c r="K39" s="121"/>
      <c r="L39" s="121" t="s">
        <v>40</v>
      </c>
      <c r="M39" s="121"/>
      <c r="N39" s="121"/>
      <c r="O39" s="122"/>
      <c r="Q39" s="38"/>
    </row>
    <row r="40" spans="1:17" ht="26.4" outlineLevel="1">
      <c r="A40" s="146" t="s">
        <v>123</v>
      </c>
      <c r="B40" s="147" t="s">
        <v>394</v>
      </c>
      <c r="C40" s="147" t="s">
        <v>395</v>
      </c>
      <c r="D40" s="147" t="s">
        <v>100</v>
      </c>
      <c r="E40" s="147" t="s">
        <v>393</v>
      </c>
      <c r="F40" s="120" t="s">
        <v>40</v>
      </c>
      <c r="G40" s="121"/>
      <c r="H40" s="121"/>
      <c r="I40" s="121" t="s">
        <v>40</v>
      </c>
      <c r="J40" s="121"/>
      <c r="K40" s="121"/>
      <c r="L40" s="121" t="s">
        <v>40</v>
      </c>
      <c r="M40" s="121"/>
      <c r="N40" s="121"/>
      <c r="O40" s="122"/>
      <c r="Q40" s="38"/>
    </row>
    <row r="41" spans="1:17" ht="26.4" outlineLevel="1">
      <c r="A41" s="146" t="s">
        <v>125</v>
      </c>
      <c r="B41" s="147" t="s">
        <v>396</v>
      </c>
      <c r="C41" s="147" t="s">
        <v>397</v>
      </c>
      <c r="D41" s="147" t="s">
        <v>350</v>
      </c>
      <c r="E41" s="147" t="s">
        <v>393</v>
      </c>
      <c r="F41" s="120" t="s">
        <v>40</v>
      </c>
      <c r="G41" s="121"/>
      <c r="H41" s="121"/>
      <c r="I41" s="121" t="s">
        <v>40</v>
      </c>
      <c r="J41" s="121"/>
      <c r="K41" s="121"/>
      <c r="L41" s="121" t="s">
        <v>40</v>
      </c>
      <c r="M41" s="121"/>
      <c r="N41" s="121"/>
      <c r="O41" s="122"/>
      <c r="Q41" s="38"/>
    </row>
    <row r="42" spans="1:17" ht="52.8" outlineLevel="1">
      <c r="A42" s="146" t="s">
        <v>398</v>
      </c>
      <c r="B42" s="147" t="s">
        <v>399</v>
      </c>
      <c r="C42" s="147" t="s">
        <v>355</v>
      </c>
      <c r="D42" s="147" t="s">
        <v>356</v>
      </c>
      <c r="E42" s="147" t="s">
        <v>393</v>
      </c>
      <c r="F42" s="120" t="s">
        <v>40</v>
      </c>
      <c r="G42" s="121"/>
      <c r="H42" s="121"/>
      <c r="I42" s="121" t="s">
        <v>40</v>
      </c>
      <c r="J42" s="121"/>
      <c r="K42" s="121"/>
      <c r="L42" s="121" t="s">
        <v>40</v>
      </c>
      <c r="M42" s="121"/>
      <c r="N42" s="121"/>
      <c r="O42" s="122"/>
      <c r="Q42" s="38"/>
    </row>
    <row r="43" spans="1:17" ht="26.4" outlineLevel="1">
      <c r="A43" s="146" t="s">
        <v>400</v>
      </c>
      <c r="B43" s="147" t="s">
        <v>401</v>
      </c>
      <c r="C43" s="147" t="s">
        <v>402</v>
      </c>
      <c r="D43" s="147" t="s">
        <v>403</v>
      </c>
      <c r="E43" s="147" t="s">
        <v>393</v>
      </c>
      <c r="F43" s="120" t="s">
        <v>40</v>
      </c>
      <c r="G43" s="121"/>
      <c r="H43" s="121"/>
      <c r="I43" s="121" t="s">
        <v>40</v>
      </c>
      <c r="J43" s="121"/>
      <c r="K43" s="121"/>
      <c r="L43" s="121" t="s">
        <v>40</v>
      </c>
      <c r="M43" s="121"/>
      <c r="N43" s="121"/>
      <c r="O43" s="122"/>
      <c r="Q43" s="38"/>
    </row>
    <row r="44" spans="1:17" ht="26.4">
      <c r="A44" s="146" t="s">
        <v>404</v>
      </c>
      <c r="B44" s="147" t="s">
        <v>405</v>
      </c>
      <c r="C44" s="147" t="s">
        <v>406</v>
      </c>
      <c r="D44" s="147" t="s">
        <v>338</v>
      </c>
      <c r="E44" s="147" t="s">
        <v>393</v>
      </c>
      <c r="F44" s="120" t="s">
        <v>40</v>
      </c>
      <c r="G44" s="121"/>
      <c r="H44" s="121"/>
      <c r="I44" s="121" t="s">
        <v>40</v>
      </c>
      <c r="J44" s="121"/>
      <c r="K44" s="121"/>
      <c r="L44" s="121" t="s">
        <v>40</v>
      </c>
      <c r="M44" s="121"/>
      <c r="N44" s="121"/>
      <c r="O44" s="122"/>
    </row>
    <row r="45" spans="1:17" ht="26.4">
      <c r="A45" s="146" t="s">
        <v>407</v>
      </c>
      <c r="B45" s="147" t="s">
        <v>408</v>
      </c>
      <c r="C45" s="147" t="s">
        <v>409</v>
      </c>
      <c r="D45" s="147" t="s">
        <v>340</v>
      </c>
      <c r="E45" s="147" t="s">
        <v>393</v>
      </c>
      <c r="F45" s="120" t="s">
        <v>40</v>
      </c>
      <c r="G45" s="121"/>
      <c r="H45" s="121"/>
      <c r="I45" s="121" t="s">
        <v>40</v>
      </c>
      <c r="J45" s="121"/>
      <c r="K45" s="121"/>
      <c r="L45" s="121" t="s">
        <v>40</v>
      </c>
      <c r="M45" s="121"/>
      <c r="N45" s="121"/>
      <c r="O45" s="122"/>
    </row>
    <row r="46" spans="1:17" ht="26.4">
      <c r="A46" s="146" t="s">
        <v>410</v>
      </c>
      <c r="B46" s="147" t="s">
        <v>411</v>
      </c>
      <c r="C46" s="147" t="s">
        <v>412</v>
      </c>
      <c r="D46" s="147" t="s">
        <v>348</v>
      </c>
      <c r="E46" s="147" t="s">
        <v>393</v>
      </c>
      <c r="F46" s="120" t="s">
        <v>40</v>
      </c>
      <c r="G46" s="121"/>
      <c r="H46" s="121"/>
      <c r="I46" s="121" t="s">
        <v>40</v>
      </c>
      <c r="J46" s="121"/>
      <c r="K46" s="121"/>
      <c r="L46" s="121" t="s">
        <v>40</v>
      </c>
      <c r="M46" s="121"/>
      <c r="N46" s="121"/>
      <c r="O46" s="122"/>
    </row>
    <row r="47" spans="1:17" s="30" customFormat="1" ht="15.75" customHeight="1">
      <c r="A47" s="118" t="s">
        <v>103</v>
      </c>
      <c r="B47" s="118"/>
      <c r="C47" s="119"/>
      <c r="D47" s="119"/>
      <c r="E47" s="119"/>
      <c r="F47" s="35"/>
      <c r="G47" s="35"/>
      <c r="H47" s="35"/>
      <c r="I47" s="35"/>
      <c r="J47" s="35"/>
      <c r="K47" s="35"/>
      <c r="L47" s="35"/>
      <c r="M47" s="35"/>
      <c r="N47" s="35"/>
      <c r="O47" s="36"/>
      <c r="Q47" s="37"/>
    </row>
    <row r="48" spans="1:17" ht="39.6" outlineLevel="1">
      <c r="A48" s="146" t="s">
        <v>413</v>
      </c>
      <c r="B48" s="147" t="s">
        <v>414</v>
      </c>
      <c r="C48" s="147" t="s">
        <v>415</v>
      </c>
      <c r="D48" s="147" t="s">
        <v>105</v>
      </c>
      <c r="E48" s="147" t="s">
        <v>416</v>
      </c>
      <c r="F48" s="120" t="s">
        <v>40</v>
      </c>
      <c r="G48" s="121"/>
      <c r="H48" s="121"/>
      <c r="I48" s="121" t="s">
        <v>40</v>
      </c>
      <c r="J48" s="121"/>
      <c r="K48" s="121"/>
      <c r="L48" s="121" t="s">
        <v>40</v>
      </c>
      <c r="M48" s="121"/>
      <c r="N48" s="121"/>
      <c r="O48" s="122"/>
      <c r="Q48" s="38"/>
    </row>
    <row r="49" spans="1:17" ht="39.6" outlineLevel="1">
      <c r="A49" s="146" t="s">
        <v>417</v>
      </c>
      <c r="B49" s="147" t="s">
        <v>418</v>
      </c>
      <c r="C49" s="147" t="s">
        <v>419</v>
      </c>
      <c r="D49" s="147" t="s">
        <v>420</v>
      </c>
      <c r="E49" s="147" t="s">
        <v>421</v>
      </c>
      <c r="F49" s="120" t="s">
        <v>40</v>
      </c>
      <c r="G49" s="121"/>
      <c r="H49" s="121"/>
      <c r="I49" s="121" t="s">
        <v>40</v>
      </c>
      <c r="J49" s="121"/>
      <c r="K49" s="121"/>
      <c r="L49" s="121" t="s">
        <v>40</v>
      </c>
      <c r="M49" s="121"/>
      <c r="N49" s="121"/>
      <c r="O49" s="122"/>
      <c r="Q49" s="38"/>
    </row>
    <row r="50" spans="1:17" ht="26.4" outlineLevel="1">
      <c r="A50" s="146" t="s">
        <v>422</v>
      </c>
      <c r="B50" s="147" t="s">
        <v>423</v>
      </c>
      <c r="C50" s="147" t="s">
        <v>424</v>
      </c>
      <c r="D50" s="147" t="s">
        <v>425</v>
      </c>
      <c r="E50" s="147" t="s">
        <v>421</v>
      </c>
      <c r="F50" s="120" t="s">
        <v>40</v>
      </c>
      <c r="G50" s="121"/>
      <c r="H50" s="121"/>
      <c r="I50" s="121" t="s">
        <v>40</v>
      </c>
      <c r="J50" s="121"/>
      <c r="K50" s="121"/>
      <c r="L50" s="121" t="s">
        <v>40</v>
      </c>
      <c r="M50" s="121"/>
      <c r="N50" s="121"/>
      <c r="O50" s="122"/>
      <c r="Q50" s="38"/>
    </row>
    <row r="51" spans="1:17" ht="26.4" outlineLevel="1">
      <c r="A51" s="146" t="s">
        <v>426</v>
      </c>
      <c r="B51" s="147" t="s">
        <v>108</v>
      </c>
      <c r="C51" s="147" t="s">
        <v>109</v>
      </c>
      <c r="D51" s="147" t="s">
        <v>110</v>
      </c>
      <c r="E51" s="147" t="s">
        <v>421</v>
      </c>
      <c r="F51" s="120" t="s">
        <v>40</v>
      </c>
      <c r="G51" s="121"/>
      <c r="H51" s="121"/>
      <c r="I51" s="121" t="s">
        <v>40</v>
      </c>
      <c r="J51" s="121"/>
      <c r="K51" s="121"/>
      <c r="L51" s="121" t="s">
        <v>40</v>
      </c>
      <c r="M51" s="121"/>
      <c r="N51" s="121"/>
      <c r="O51" s="122"/>
      <c r="Q51" s="38"/>
    </row>
    <row r="52" spans="1:17" ht="39.6">
      <c r="A52" s="146" t="s">
        <v>427</v>
      </c>
      <c r="B52" s="147" t="s">
        <v>112</v>
      </c>
      <c r="C52" s="147" t="s">
        <v>428</v>
      </c>
      <c r="D52" s="147" t="s">
        <v>429</v>
      </c>
      <c r="E52" s="147" t="s">
        <v>421</v>
      </c>
      <c r="F52" s="120" t="s">
        <v>40</v>
      </c>
      <c r="G52" s="121"/>
      <c r="H52" s="121"/>
      <c r="I52" s="121" t="s">
        <v>40</v>
      </c>
      <c r="J52" s="121"/>
      <c r="K52" s="121"/>
      <c r="L52" s="121" t="s">
        <v>40</v>
      </c>
      <c r="M52" s="121"/>
      <c r="N52" s="121"/>
      <c r="O52" s="122"/>
    </row>
    <row r="53" spans="1:17" ht="26.4">
      <c r="A53" s="146" t="s">
        <v>430</v>
      </c>
      <c r="B53" s="147" t="s">
        <v>114</v>
      </c>
      <c r="C53" s="147" t="s">
        <v>431</v>
      </c>
      <c r="D53" s="147" t="s">
        <v>115</v>
      </c>
      <c r="E53" s="147" t="s">
        <v>421</v>
      </c>
      <c r="F53" s="120" t="s">
        <v>40</v>
      </c>
      <c r="G53" s="121"/>
      <c r="H53" s="121"/>
      <c r="I53" s="121" t="s">
        <v>40</v>
      </c>
      <c r="J53" s="121"/>
      <c r="K53" s="121"/>
      <c r="L53" s="121" t="s">
        <v>40</v>
      </c>
      <c r="M53" s="121"/>
      <c r="N53" s="121"/>
      <c r="O53" s="122"/>
    </row>
    <row r="54" spans="1:17" s="30" customFormat="1" ht="15.75" customHeight="1">
      <c r="A54" s="118" t="s">
        <v>432</v>
      </c>
      <c r="B54" s="118"/>
      <c r="C54" s="119"/>
      <c r="D54" s="119"/>
      <c r="E54" s="119"/>
      <c r="F54" s="35"/>
      <c r="G54" s="35"/>
      <c r="H54" s="35"/>
      <c r="I54" s="35"/>
      <c r="J54" s="35"/>
      <c r="K54" s="35"/>
      <c r="L54" s="35"/>
      <c r="M54" s="35"/>
      <c r="N54" s="35"/>
      <c r="O54" s="36"/>
      <c r="Q54" s="37"/>
    </row>
    <row r="55" spans="1:17" ht="52.8" outlineLevel="1">
      <c r="A55" s="146" t="s">
        <v>433</v>
      </c>
      <c r="B55" s="147" t="s">
        <v>434</v>
      </c>
      <c r="C55" s="147" t="s">
        <v>435</v>
      </c>
      <c r="D55" s="147" t="s">
        <v>117</v>
      </c>
      <c r="E55" s="145" t="s">
        <v>436</v>
      </c>
      <c r="F55" s="120" t="s">
        <v>40</v>
      </c>
      <c r="G55" s="121"/>
      <c r="H55" s="121"/>
      <c r="I55" s="121" t="s">
        <v>40</v>
      </c>
      <c r="J55" s="121"/>
      <c r="K55" s="121"/>
      <c r="L55" s="121" t="s">
        <v>40</v>
      </c>
      <c r="M55" s="121"/>
      <c r="N55" s="121"/>
      <c r="O55" s="122"/>
      <c r="Q55" s="38"/>
    </row>
    <row r="56" spans="1:17" ht="39.6">
      <c r="A56" s="146" t="s">
        <v>437</v>
      </c>
      <c r="B56" s="147" t="s">
        <v>438</v>
      </c>
      <c r="C56" s="147" t="s">
        <v>439</v>
      </c>
      <c r="D56" s="147" t="s">
        <v>440</v>
      </c>
      <c r="E56" s="145" t="s">
        <v>441</v>
      </c>
      <c r="F56" s="120" t="s">
        <v>40</v>
      </c>
      <c r="G56" s="121"/>
      <c r="H56" s="121"/>
      <c r="I56" s="121" t="s">
        <v>40</v>
      </c>
      <c r="J56" s="121"/>
      <c r="K56" s="121"/>
      <c r="L56" s="121" t="s">
        <v>40</v>
      </c>
      <c r="M56" s="121"/>
      <c r="N56" s="121"/>
      <c r="O56" s="122"/>
    </row>
    <row r="57" spans="1:17" ht="39.6">
      <c r="A57" s="146" t="s">
        <v>442</v>
      </c>
      <c r="B57" s="147" t="s">
        <v>443</v>
      </c>
      <c r="C57" s="147" t="s">
        <v>444</v>
      </c>
      <c r="D57" s="147" t="s">
        <v>445</v>
      </c>
      <c r="E57" s="147" t="s">
        <v>441</v>
      </c>
      <c r="F57" s="120" t="s">
        <v>40</v>
      </c>
      <c r="G57" s="121"/>
      <c r="H57" s="121"/>
      <c r="I57" s="121" t="s">
        <v>40</v>
      </c>
      <c r="J57" s="121"/>
      <c r="K57" s="121"/>
      <c r="L57" s="121" t="s">
        <v>40</v>
      </c>
      <c r="M57" s="121"/>
      <c r="N57" s="121"/>
      <c r="O57" s="122"/>
    </row>
    <row r="58" spans="1:17" ht="39.6">
      <c r="A58" s="146" t="s">
        <v>446</v>
      </c>
      <c r="B58" s="147" t="s">
        <v>447</v>
      </c>
      <c r="C58" s="147" t="s">
        <v>448</v>
      </c>
      <c r="D58" s="147" t="s">
        <v>449</v>
      </c>
      <c r="E58" s="147" t="s">
        <v>441</v>
      </c>
      <c r="F58" s="120" t="s">
        <v>40</v>
      </c>
      <c r="G58" s="121"/>
      <c r="H58" s="121"/>
      <c r="I58" s="121" t="s">
        <v>40</v>
      </c>
      <c r="J58" s="121"/>
      <c r="K58" s="121"/>
      <c r="L58" s="121" t="s">
        <v>40</v>
      </c>
      <c r="M58" s="121"/>
      <c r="N58" s="121"/>
      <c r="O58" s="122"/>
    </row>
    <row r="59" spans="1:17" ht="52.8">
      <c r="A59" s="146" t="s">
        <v>450</v>
      </c>
      <c r="B59" s="147" t="s">
        <v>451</v>
      </c>
      <c r="C59" s="147" t="s">
        <v>452</v>
      </c>
      <c r="D59" s="147" t="s">
        <v>453</v>
      </c>
      <c r="E59" s="147" t="s">
        <v>441</v>
      </c>
      <c r="F59" s="120" t="s">
        <v>40</v>
      </c>
      <c r="G59" s="121"/>
      <c r="H59" s="121"/>
      <c r="I59" s="121" t="s">
        <v>40</v>
      </c>
      <c r="J59" s="121"/>
      <c r="K59" s="121"/>
      <c r="L59" s="121" t="s">
        <v>40</v>
      </c>
      <c r="M59" s="121"/>
      <c r="N59" s="121"/>
      <c r="O59" s="122"/>
    </row>
    <row r="60" spans="1:17" ht="52.8">
      <c r="A60" s="146" t="s">
        <v>454</v>
      </c>
      <c r="B60" s="147" t="s">
        <v>455</v>
      </c>
      <c r="C60" s="147" t="s">
        <v>456</v>
      </c>
      <c r="D60" s="147" t="s">
        <v>457</v>
      </c>
      <c r="E60" s="147" t="s">
        <v>441</v>
      </c>
      <c r="F60" s="120" t="s">
        <v>40</v>
      </c>
      <c r="G60" s="121"/>
      <c r="H60" s="121"/>
      <c r="I60" s="121" t="s">
        <v>40</v>
      </c>
      <c r="J60" s="121"/>
      <c r="K60" s="121"/>
      <c r="L60" s="121" t="s">
        <v>40</v>
      </c>
      <c r="M60" s="121"/>
      <c r="N60" s="121"/>
      <c r="O60" s="122"/>
    </row>
    <row r="61" spans="1:17" ht="66">
      <c r="A61" s="146" t="s">
        <v>458</v>
      </c>
      <c r="B61" s="147" t="s">
        <v>459</v>
      </c>
      <c r="C61" s="147" t="s">
        <v>460</v>
      </c>
      <c r="D61" s="147" t="s">
        <v>461</v>
      </c>
      <c r="E61" s="147" t="s">
        <v>441</v>
      </c>
      <c r="F61" s="120" t="s">
        <v>40</v>
      </c>
      <c r="G61" s="121"/>
      <c r="H61" s="121"/>
      <c r="I61" s="121" t="s">
        <v>40</v>
      </c>
      <c r="J61" s="121"/>
      <c r="K61" s="121"/>
      <c r="L61" s="121" t="s">
        <v>40</v>
      </c>
      <c r="M61" s="121"/>
      <c r="N61" s="121"/>
      <c r="O61" s="122"/>
    </row>
    <row r="62" spans="1:17" ht="39.6">
      <c r="A62" s="146" t="s">
        <v>462</v>
      </c>
      <c r="B62" s="147" t="s">
        <v>121</v>
      </c>
      <c r="C62" s="147" t="s">
        <v>463</v>
      </c>
      <c r="D62" s="147" t="s">
        <v>122</v>
      </c>
      <c r="E62" s="147" t="s">
        <v>464</v>
      </c>
      <c r="F62" s="120" t="s">
        <v>40</v>
      </c>
      <c r="G62" s="121"/>
      <c r="H62" s="121"/>
      <c r="I62" s="121" t="s">
        <v>40</v>
      </c>
      <c r="J62" s="121"/>
      <c r="K62" s="121"/>
      <c r="L62" s="121" t="s">
        <v>40</v>
      </c>
      <c r="M62" s="121"/>
      <c r="N62" s="121"/>
      <c r="O62" s="122"/>
    </row>
    <row r="63" spans="1:17" ht="66">
      <c r="A63" s="146" t="s">
        <v>465</v>
      </c>
      <c r="B63" s="147" t="s">
        <v>124</v>
      </c>
      <c r="C63" s="147" t="s">
        <v>466</v>
      </c>
      <c r="D63" s="147" t="s">
        <v>467</v>
      </c>
      <c r="E63" s="147" t="s">
        <v>468</v>
      </c>
      <c r="F63" s="120" t="s">
        <v>40</v>
      </c>
      <c r="G63" s="121"/>
      <c r="H63" s="121"/>
      <c r="I63" s="121" t="s">
        <v>40</v>
      </c>
      <c r="J63" s="121"/>
      <c r="K63" s="121"/>
      <c r="L63" s="121" t="s">
        <v>40</v>
      </c>
      <c r="M63" s="121"/>
      <c r="N63" s="121"/>
      <c r="O63" s="122"/>
    </row>
    <row r="64" spans="1:17" ht="39.6">
      <c r="A64" s="146" t="s">
        <v>469</v>
      </c>
      <c r="B64" s="147" t="s">
        <v>470</v>
      </c>
      <c r="C64" s="147" t="s">
        <v>471</v>
      </c>
      <c r="D64" s="147" t="s">
        <v>126</v>
      </c>
      <c r="E64" s="147" t="s">
        <v>472</v>
      </c>
      <c r="F64" s="120" t="s">
        <v>40</v>
      </c>
      <c r="G64" s="121"/>
      <c r="H64" s="121"/>
      <c r="I64" s="121" t="s">
        <v>40</v>
      </c>
      <c r="J64" s="121"/>
      <c r="K64" s="121"/>
      <c r="L64" s="121" t="s">
        <v>40</v>
      </c>
      <c r="M64" s="121"/>
      <c r="N64" s="121"/>
      <c r="O64" s="122"/>
    </row>
  </sheetData>
  <mergeCells count="3">
    <mergeCell ref="B2:E2"/>
    <mergeCell ref="B4:E4"/>
    <mergeCell ref="B3:E3"/>
  </mergeCells>
  <phoneticPr fontId="0" type="noConversion"/>
  <dataValidations count="2">
    <dataValidation type="list" allowBlank="1" showErrorMessage="1" sqref="G2:G3 G9 G65:G171 J2:J3 J9 J65:J171 M2:M3 M9 L37:L64 F12:F26 I12:I26 L12:L26 I28:I35 F28:F35 L28:L35 F37:F64 I37:I64 M65:M171">
      <formula1>$R$2:$R$5</formula1>
      <formula2>0</formula2>
    </dataValidation>
    <dataValidation allowBlank="1" showErrorMessage="1" sqref="F10 I10 L10"/>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R57"/>
  <sheetViews>
    <sheetView zoomScale="85" zoomScaleNormal="85" workbookViewId="0">
      <pane ySplit="10" topLeftCell="A44" activePane="bottomLeft" state="frozen"/>
      <selection pane="bottomLeft" activeCell="C61" sqref="C61"/>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32" style="1" customWidth="1"/>
    <col min="6" max="6" width="9.33203125" style="1" customWidth="1"/>
    <col min="7" max="7" width="10.6640625" style="1" customWidth="1" outlineLevel="1"/>
    <col min="8" max="8" width="7" style="1" bestFit="1" customWidth="1" outlineLevel="1"/>
    <col min="9" max="9" width="9.33203125" style="1" customWidth="1"/>
    <col min="10" max="10" width="10.6640625" style="1" customWidth="1" outlineLevel="1"/>
    <col min="11" max="11" width="7" style="1" bestFit="1" customWidth="1" outlineLevel="1"/>
    <col min="12" max="12" width="9.33203125" style="1" customWidth="1"/>
    <col min="13" max="13" width="10.6640625" style="1" customWidth="1" outlineLevel="1"/>
    <col min="14" max="14" width="7" style="1" bestFit="1" customWidth="1" outlineLevel="1"/>
    <col min="15" max="15" width="28.6640625" style="1" customWidth="1"/>
    <col min="16" max="16" width="10.109375" style="1" customWidth="1"/>
    <col min="17" max="17" width="8.109375" style="28" customWidth="1"/>
    <col min="18" max="18" width="7.6640625" style="1" hidden="1" customWidth="1"/>
    <col min="19" max="16384" width="9" style="1"/>
  </cols>
  <sheetData>
    <row r="1" spans="1:18" ht="13.8" thickBot="1"/>
    <row r="2" spans="1:18" s="30" customFormat="1" ht="15" customHeight="1">
      <c r="A2" s="66" t="s">
        <v>53</v>
      </c>
      <c r="B2" s="136" t="s">
        <v>127</v>
      </c>
      <c r="C2" s="136"/>
      <c r="D2" s="136"/>
      <c r="E2" s="137"/>
      <c r="F2" s="56"/>
      <c r="G2" s="51"/>
      <c r="H2" s="9"/>
      <c r="I2" s="56"/>
      <c r="J2" s="51"/>
      <c r="K2" s="9"/>
      <c r="L2" s="56"/>
      <c r="M2" s="51"/>
      <c r="N2" s="9"/>
      <c r="O2" s="9"/>
      <c r="P2" s="9"/>
      <c r="Q2" s="29"/>
      <c r="R2" s="30" t="s">
        <v>41</v>
      </c>
    </row>
    <row r="3" spans="1:18" s="30" customFormat="1" ht="26.4">
      <c r="A3" s="67" t="s">
        <v>23</v>
      </c>
      <c r="B3" s="138" t="s">
        <v>24</v>
      </c>
      <c r="C3" s="138"/>
      <c r="D3" s="138"/>
      <c r="E3" s="139"/>
      <c r="F3" s="56"/>
      <c r="G3" s="51"/>
      <c r="H3" s="9"/>
      <c r="I3" s="56"/>
      <c r="J3" s="51"/>
      <c r="K3" s="9"/>
      <c r="L3" s="56"/>
      <c r="M3" s="51"/>
      <c r="N3" s="9"/>
      <c r="O3" s="9"/>
      <c r="P3" s="9"/>
      <c r="Q3" s="29"/>
      <c r="R3" s="30" t="s">
        <v>42</v>
      </c>
    </row>
    <row r="4" spans="1:18" s="30" customFormat="1" ht="18" customHeight="1">
      <c r="A4" s="67" t="s">
        <v>49</v>
      </c>
      <c r="B4" s="138">
        <f>COUNTA(A12:A1021)</f>
        <v>46</v>
      </c>
      <c r="C4" s="138"/>
      <c r="D4" s="138"/>
      <c r="E4" s="139"/>
      <c r="F4" s="56"/>
      <c r="G4" s="51"/>
      <c r="H4" s="9"/>
      <c r="I4" s="56"/>
      <c r="J4" s="51"/>
      <c r="K4" s="9"/>
      <c r="L4" s="56"/>
      <c r="M4" s="51"/>
      <c r="N4" s="9"/>
      <c r="O4" s="9"/>
      <c r="P4" s="9"/>
      <c r="Q4" s="29"/>
      <c r="R4" s="30" t="s">
        <v>40</v>
      </c>
    </row>
    <row r="5" spans="1:18" s="30" customFormat="1" ht="19.5" customHeight="1">
      <c r="A5" s="60" t="s">
        <v>43</v>
      </c>
      <c r="B5" s="58" t="s">
        <v>41</v>
      </c>
      <c r="C5" s="58" t="s">
        <v>42</v>
      </c>
      <c r="D5" s="58" t="s">
        <v>40</v>
      </c>
      <c r="E5" s="61" t="s">
        <v>26</v>
      </c>
      <c r="F5" s="52"/>
      <c r="G5" s="52"/>
      <c r="H5" s="31"/>
      <c r="I5" s="52"/>
      <c r="J5" s="52"/>
      <c r="K5" s="31"/>
      <c r="L5" s="52"/>
      <c r="M5" s="52"/>
      <c r="N5" s="31"/>
      <c r="O5" s="31"/>
      <c r="P5" s="31"/>
      <c r="Q5" s="32"/>
      <c r="R5" s="30" t="s">
        <v>26</v>
      </c>
    </row>
    <row r="6" spans="1:18" s="30" customFormat="1" ht="15" customHeight="1">
      <c r="A6" s="60" t="s">
        <v>44</v>
      </c>
      <c r="B6" s="59">
        <f>COUNTIF($F10:$F1019,B5)</f>
        <v>0</v>
      </c>
      <c r="C6" s="59">
        <f>COUNTIF($F10:$F1019,C5)</f>
        <v>0</v>
      </c>
      <c r="D6" s="59">
        <f>COUNTIF($F10:$F1019,D5)</f>
        <v>42</v>
      </c>
      <c r="E6" s="65">
        <f>COUNTIF($F10:$F1019,E5)</f>
        <v>0</v>
      </c>
      <c r="F6" s="53"/>
      <c r="G6" s="53"/>
      <c r="H6" s="31"/>
      <c r="I6" s="53"/>
      <c r="J6" s="53"/>
      <c r="K6" s="31"/>
      <c r="L6" s="53"/>
      <c r="M6" s="53"/>
      <c r="N6" s="31"/>
      <c r="O6" s="31"/>
      <c r="P6" s="31"/>
      <c r="Q6" s="32"/>
    </row>
    <row r="7" spans="1:18" s="30" customFormat="1" ht="15" customHeight="1">
      <c r="A7" s="60" t="s">
        <v>46</v>
      </c>
      <c r="B7" s="59">
        <f>COUNTIF($F10:$F1019,B5)</f>
        <v>0</v>
      </c>
      <c r="C7" s="59">
        <f>COUNTIF($F10:$F1019,C5)</f>
        <v>0</v>
      </c>
      <c r="D7" s="59">
        <f>COUNTIF($F10:$F1019,D5)</f>
        <v>42</v>
      </c>
      <c r="E7" s="65">
        <f>COUNTIF($F10:$F1019,E5)</f>
        <v>0</v>
      </c>
      <c r="F7" s="53"/>
      <c r="G7" s="53"/>
      <c r="H7" s="31"/>
      <c r="I7" s="53"/>
      <c r="J7" s="53"/>
      <c r="K7" s="31"/>
      <c r="L7" s="53"/>
      <c r="M7" s="53"/>
      <c r="N7" s="31"/>
      <c r="O7" s="31"/>
      <c r="P7" s="31"/>
      <c r="Q7" s="32"/>
    </row>
    <row r="8" spans="1:18" s="30" customFormat="1" ht="15" customHeight="1" thickBot="1">
      <c r="A8" s="62" t="s">
        <v>47</v>
      </c>
      <c r="B8" s="63">
        <f>COUNTIF($F10:$F1019,B5)</f>
        <v>0</v>
      </c>
      <c r="C8" s="63">
        <f>COUNTIF($F10:$F1019,C5)</f>
        <v>0</v>
      </c>
      <c r="D8" s="63">
        <f>COUNTIF($F10:$F1019,D5)</f>
        <v>42</v>
      </c>
      <c r="E8" s="64">
        <f>COUNTIF($F10:$F1019,E5)</f>
        <v>0</v>
      </c>
      <c r="F8" s="53"/>
      <c r="G8" s="53"/>
      <c r="H8" s="31"/>
      <c r="I8" s="53"/>
      <c r="J8" s="53"/>
      <c r="K8" s="31"/>
      <c r="L8" s="53"/>
      <c r="M8" s="53"/>
      <c r="N8" s="31"/>
      <c r="O8" s="31"/>
      <c r="P8" s="31"/>
      <c r="Q8" s="32"/>
    </row>
    <row r="9" spans="1:18" s="30" customFormat="1" ht="15" customHeight="1">
      <c r="A9" s="31"/>
      <c r="B9" s="31"/>
      <c r="C9" s="31"/>
      <c r="D9" s="31"/>
      <c r="E9" s="31"/>
      <c r="F9" s="33"/>
      <c r="G9" s="31"/>
      <c r="H9" s="31"/>
      <c r="I9" s="33"/>
      <c r="J9" s="31"/>
      <c r="K9" s="31"/>
      <c r="L9" s="33"/>
      <c r="M9" s="31"/>
      <c r="N9" s="31"/>
      <c r="O9" s="31"/>
      <c r="P9" s="31"/>
      <c r="Q9" s="32"/>
    </row>
    <row r="10" spans="1:18" s="30" customFormat="1" ht="25.5" customHeight="1">
      <c r="A10" s="57" t="s">
        <v>48</v>
      </c>
      <c r="B10" s="57" t="s">
        <v>27</v>
      </c>
      <c r="C10" s="57" t="s">
        <v>39</v>
      </c>
      <c r="D10" s="57" t="s">
        <v>38</v>
      </c>
      <c r="E10" s="57" t="s">
        <v>45</v>
      </c>
      <c r="F10" s="57" t="s">
        <v>44</v>
      </c>
      <c r="G10" s="57" t="s">
        <v>28</v>
      </c>
      <c r="H10" s="57" t="s">
        <v>25</v>
      </c>
      <c r="I10" s="57" t="s">
        <v>46</v>
      </c>
      <c r="J10" s="57" t="s">
        <v>28</v>
      </c>
      <c r="K10" s="57" t="s">
        <v>25</v>
      </c>
      <c r="L10" s="57" t="s">
        <v>47</v>
      </c>
      <c r="M10" s="57" t="s">
        <v>28</v>
      </c>
      <c r="N10" s="57" t="s">
        <v>25</v>
      </c>
      <c r="O10" s="57" t="s">
        <v>29</v>
      </c>
      <c r="Q10" s="34"/>
    </row>
    <row r="11" spans="1:18" s="30" customFormat="1" ht="15.75" customHeight="1">
      <c r="A11" s="118" t="s">
        <v>130</v>
      </c>
      <c r="B11" s="118"/>
      <c r="C11" s="119"/>
      <c r="D11" s="119"/>
      <c r="E11" s="119"/>
      <c r="F11" s="54"/>
      <c r="G11" s="54"/>
      <c r="H11" s="54"/>
      <c r="I11" s="54"/>
      <c r="J11" s="54"/>
      <c r="K11" s="54"/>
      <c r="L11" s="54"/>
      <c r="M11" s="54"/>
      <c r="N11" s="54"/>
      <c r="O11" s="55"/>
      <c r="Q11" s="37"/>
    </row>
    <row r="12" spans="1:18" ht="92.4" outlineLevel="1">
      <c r="A12" s="146" t="s">
        <v>131</v>
      </c>
      <c r="B12" s="147" t="s">
        <v>155</v>
      </c>
      <c r="C12" s="147" t="s">
        <v>148</v>
      </c>
      <c r="D12" s="147" t="s">
        <v>154</v>
      </c>
      <c r="E12" s="147" t="s">
        <v>139</v>
      </c>
      <c r="F12" s="120" t="s">
        <v>40</v>
      </c>
      <c r="G12" s="121"/>
      <c r="H12" s="121"/>
      <c r="I12" s="121" t="s">
        <v>40</v>
      </c>
      <c r="J12" s="121"/>
      <c r="K12" s="121"/>
      <c r="L12" s="121" t="s">
        <v>40</v>
      </c>
      <c r="M12" s="121"/>
      <c r="N12" s="121"/>
      <c r="O12" s="122"/>
      <c r="Q12" s="38"/>
    </row>
    <row r="13" spans="1:18" ht="52.8" outlineLevel="1">
      <c r="A13" s="146" t="s">
        <v>132</v>
      </c>
      <c r="B13" s="147" t="s">
        <v>134</v>
      </c>
      <c r="C13" s="147" t="s">
        <v>149</v>
      </c>
      <c r="D13" s="147" t="s">
        <v>133</v>
      </c>
      <c r="E13" s="147" t="s">
        <v>150</v>
      </c>
      <c r="F13" s="120" t="s">
        <v>40</v>
      </c>
      <c r="G13" s="121"/>
      <c r="H13" s="121"/>
      <c r="I13" s="121" t="s">
        <v>40</v>
      </c>
      <c r="J13" s="121"/>
      <c r="K13" s="121"/>
      <c r="L13" s="121" t="s">
        <v>40</v>
      </c>
      <c r="M13" s="121"/>
      <c r="N13" s="121"/>
      <c r="O13" s="122"/>
      <c r="Q13" s="38"/>
    </row>
    <row r="14" spans="1:18" ht="52.8" outlineLevel="1">
      <c r="A14" s="146" t="s">
        <v>135</v>
      </c>
      <c r="B14" s="147" t="s">
        <v>137</v>
      </c>
      <c r="C14" s="147" t="s">
        <v>151</v>
      </c>
      <c r="D14" s="147" t="s">
        <v>156</v>
      </c>
      <c r="E14" s="147" t="s">
        <v>136</v>
      </c>
      <c r="F14" s="120" t="s">
        <v>40</v>
      </c>
      <c r="G14" s="121"/>
      <c r="H14" s="121"/>
      <c r="I14" s="121" t="s">
        <v>40</v>
      </c>
      <c r="J14" s="121"/>
      <c r="K14" s="121"/>
      <c r="L14" s="121" t="s">
        <v>40</v>
      </c>
      <c r="M14" s="121"/>
      <c r="N14" s="121"/>
      <c r="O14" s="122"/>
      <c r="Q14" s="38"/>
    </row>
    <row r="15" spans="1:18" ht="39.6" outlineLevel="1">
      <c r="A15" s="146" t="s">
        <v>138</v>
      </c>
      <c r="B15" s="147" t="s">
        <v>140</v>
      </c>
      <c r="C15" s="147" t="s">
        <v>152</v>
      </c>
      <c r="D15" s="147" t="s">
        <v>157</v>
      </c>
      <c r="E15" s="147" t="s">
        <v>139</v>
      </c>
      <c r="F15" s="120" t="s">
        <v>40</v>
      </c>
      <c r="G15" s="121"/>
      <c r="H15" s="121"/>
      <c r="I15" s="121" t="s">
        <v>40</v>
      </c>
      <c r="J15" s="121"/>
      <c r="K15" s="121"/>
      <c r="L15" s="121" t="s">
        <v>40</v>
      </c>
      <c r="M15" s="121"/>
      <c r="N15" s="121"/>
      <c r="O15" s="122"/>
      <c r="Q15" s="38"/>
    </row>
    <row r="16" spans="1:18" ht="66" outlineLevel="1">
      <c r="A16" s="146" t="s">
        <v>141</v>
      </c>
      <c r="B16" s="147" t="s">
        <v>142</v>
      </c>
      <c r="C16" s="147" t="s">
        <v>153</v>
      </c>
      <c r="D16" s="147" t="s">
        <v>158</v>
      </c>
      <c r="E16" s="147" t="s">
        <v>139</v>
      </c>
      <c r="F16" s="120" t="s">
        <v>40</v>
      </c>
      <c r="G16" s="121"/>
      <c r="H16" s="121"/>
      <c r="I16" s="121" t="s">
        <v>40</v>
      </c>
      <c r="J16" s="121"/>
      <c r="K16" s="121"/>
      <c r="L16" s="121" t="s">
        <v>40</v>
      </c>
      <c r="M16" s="121"/>
      <c r="N16" s="121"/>
      <c r="O16" s="122"/>
      <c r="Q16" s="38"/>
    </row>
    <row r="17" spans="1:17" ht="52.8" outlineLevel="1">
      <c r="A17" s="146" t="s">
        <v>143</v>
      </c>
      <c r="B17" s="147" t="s">
        <v>160</v>
      </c>
      <c r="C17" s="147" t="s">
        <v>187</v>
      </c>
      <c r="D17" s="147" t="s">
        <v>159</v>
      </c>
      <c r="E17" s="147" t="s">
        <v>139</v>
      </c>
      <c r="F17" s="120" t="s">
        <v>40</v>
      </c>
      <c r="G17" s="121"/>
      <c r="H17" s="121"/>
      <c r="I17" s="121" t="s">
        <v>40</v>
      </c>
      <c r="J17" s="121"/>
      <c r="K17" s="121"/>
      <c r="L17" s="121" t="s">
        <v>40</v>
      </c>
      <c r="M17" s="121"/>
      <c r="N17" s="121"/>
      <c r="O17" s="122"/>
      <c r="Q17" s="38"/>
    </row>
    <row r="18" spans="1:17" ht="52.8" outlineLevel="1">
      <c r="A18" s="146" t="s">
        <v>145</v>
      </c>
      <c r="B18" s="147" t="s">
        <v>162</v>
      </c>
      <c r="C18" s="147" t="s">
        <v>188</v>
      </c>
      <c r="D18" s="147" t="s">
        <v>161</v>
      </c>
      <c r="E18" s="147" t="s">
        <v>139</v>
      </c>
      <c r="F18" s="120" t="s">
        <v>40</v>
      </c>
      <c r="G18" s="121"/>
      <c r="H18" s="121"/>
      <c r="I18" s="121" t="s">
        <v>40</v>
      </c>
      <c r="J18" s="121"/>
      <c r="K18" s="121"/>
      <c r="L18" s="121" t="s">
        <v>40</v>
      </c>
      <c r="M18" s="121"/>
      <c r="N18" s="121"/>
      <c r="O18" s="122"/>
      <c r="Q18" s="38"/>
    </row>
    <row r="19" spans="1:17" ht="39.6" outlineLevel="1">
      <c r="A19" s="146" t="s">
        <v>163</v>
      </c>
      <c r="B19" s="147" t="s">
        <v>166</v>
      </c>
      <c r="C19" s="147" t="s">
        <v>164</v>
      </c>
      <c r="D19" s="147" t="s">
        <v>165</v>
      </c>
      <c r="E19" s="147" t="s">
        <v>139</v>
      </c>
      <c r="F19" s="120" t="s">
        <v>40</v>
      </c>
      <c r="G19" s="121"/>
      <c r="H19" s="121"/>
      <c r="I19" s="121" t="s">
        <v>40</v>
      </c>
      <c r="J19" s="121"/>
      <c r="K19" s="121"/>
      <c r="L19" s="121" t="s">
        <v>40</v>
      </c>
      <c r="M19" s="121"/>
      <c r="N19" s="121"/>
      <c r="O19" s="122"/>
      <c r="Q19" s="38"/>
    </row>
    <row r="20" spans="1:17" ht="39.6" outlineLevel="1">
      <c r="A20" s="146" t="s">
        <v>167</v>
      </c>
      <c r="B20" s="147" t="s">
        <v>169</v>
      </c>
      <c r="C20" s="147" t="s">
        <v>189</v>
      </c>
      <c r="D20" s="147" t="s">
        <v>168</v>
      </c>
      <c r="E20" s="147" t="s">
        <v>139</v>
      </c>
      <c r="F20" s="120" t="s">
        <v>40</v>
      </c>
      <c r="G20" s="121"/>
      <c r="H20" s="121"/>
      <c r="I20" s="121" t="s">
        <v>40</v>
      </c>
      <c r="J20" s="121"/>
      <c r="K20" s="121"/>
      <c r="L20" s="121" t="s">
        <v>40</v>
      </c>
      <c r="M20" s="121"/>
      <c r="N20" s="121"/>
      <c r="O20" s="122"/>
      <c r="Q20" s="38"/>
    </row>
    <row r="21" spans="1:17" ht="52.8" outlineLevel="1">
      <c r="A21" s="146" t="s">
        <v>170</v>
      </c>
      <c r="B21" s="147" t="s">
        <v>173</v>
      </c>
      <c r="C21" s="147" t="s">
        <v>171</v>
      </c>
      <c r="D21" s="147" t="s">
        <v>172</v>
      </c>
      <c r="E21" s="147" t="s">
        <v>139</v>
      </c>
      <c r="F21" s="120" t="s">
        <v>40</v>
      </c>
      <c r="G21" s="121"/>
      <c r="H21" s="121"/>
      <c r="I21" s="121" t="s">
        <v>40</v>
      </c>
      <c r="J21" s="121"/>
      <c r="K21" s="121"/>
      <c r="L21" s="121" t="s">
        <v>40</v>
      </c>
      <c r="M21" s="121"/>
      <c r="N21" s="121"/>
      <c r="O21" s="122"/>
      <c r="Q21" s="38"/>
    </row>
    <row r="22" spans="1:17" ht="52.8" outlineLevel="1">
      <c r="A22" s="146" t="s">
        <v>174</v>
      </c>
      <c r="B22" s="147" t="s">
        <v>175</v>
      </c>
      <c r="C22" s="147" t="s">
        <v>190</v>
      </c>
      <c r="D22" s="147" t="s">
        <v>191</v>
      </c>
      <c r="E22" s="147" t="s">
        <v>139</v>
      </c>
      <c r="F22" s="120" t="s">
        <v>40</v>
      </c>
      <c r="G22" s="121"/>
      <c r="H22" s="121"/>
      <c r="I22" s="121" t="s">
        <v>40</v>
      </c>
      <c r="J22" s="121"/>
      <c r="K22" s="121"/>
      <c r="L22" s="121" t="s">
        <v>40</v>
      </c>
      <c r="M22" s="121"/>
      <c r="N22" s="121"/>
      <c r="O22" s="122"/>
      <c r="Q22" s="38"/>
    </row>
    <row r="23" spans="1:17" ht="66" outlineLevel="1">
      <c r="A23" s="146" t="s">
        <v>176</v>
      </c>
      <c r="B23" s="147" t="s">
        <v>178</v>
      </c>
      <c r="C23" s="147" t="s">
        <v>192</v>
      </c>
      <c r="D23" s="147" t="s">
        <v>177</v>
      </c>
      <c r="E23" s="147" t="s">
        <v>139</v>
      </c>
      <c r="F23" s="120" t="s">
        <v>40</v>
      </c>
      <c r="G23" s="121"/>
      <c r="H23" s="121"/>
      <c r="I23" s="121" t="s">
        <v>40</v>
      </c>
      <c r="J23" s="121"/>
      <c r="K23" s="121"/>
      <c r="L23" s="121" t="s">
        <v>40</v>
      </c>
      <c r="M23" s="121"/>
      <c r="N23" s="121"/>
      <c r="O23" s="122"/>
      <c r="Q23" s="38"/>
    </row>
    <row r="24" spans="1:17" ht="66" outlineLevel="1">
      <c r="A24" s="146" t="s">
        <v>179</v>
      </c>
      <c r="B24" s="147" t="s">
        <v>180</v>
      </c>
      <c r="C24" s="147" t="s">
        <v>193</v>
      </c>
      <c r="D24" s="147" t="s">
        <v>194</v>
      </c>
      <c r="E24" s="147" t="s">
        <v>139</v>
      </c>
      <c r="F24" s="120" t="s">
        <v>40</v>
      </c>
      <c r="G24" s="121"/>
      <c r="H24" s="121"/>
      <c r="I24" s="121" t="s">
        <v>40</v>
      </c>
      <c r="J24" s="121"/>
      <c r="K24" s="121"/>
      <c r="L24" s="121" t="s">
        <v>40</v>
      </c>
      <c r="M24" s="121"/>
      <c r="N24" s="121"/>
      <c r="O24" s="122"/>
      <c r="Q24" s="38"/>
    </row>
    <row r="25" spans="1:17" ht="52.8" outlineLevel="1">
      <c r="A25" s="146" t="s">
        <v>181</v>
      </c>
      <c r="B25" s="147" t="s">
        <v>183</v>
      </c>
      <c r="C25" s="147" t="s">
        <v>195</v>
      </c>
      <c r="D25" s="147" t="s">
        <v>182</v>
      </c>
      <c r="E25" s="147" t="s">
        <v>139</v>
      </c>
      <c r="F25" s="120" t="s">
        <v>40</v>
      </c>
      <c r="G25" s="121"/>
      <c r="H25" s="121"/>
      <c r="I25" s="121" t="s">
        <v>40</v>
      </c>
      <c r="J25" s="121"/>
      <c r="K25" s="121"/>
      <c r="L25" s="121" t="s">
        <v>40</v>
      </c>
      <c r="M25" s="121"/>
      <c r="N25" s="121"/>
      <c r="O25" s="122"/>
      <c r="Q25" s="38"/>
    </row>
    <row r="26" spans="1:17" ht="52.8" outlineLevel="1">
      <c r="A26" s="146" t="s">
        <v>184</v>
      </c>
      <c r="B26" s="147" t="s">
        <v>144</v>
      </c>
      <c r="C26" s="147" t="s">
        <v>196</v>
      </c>
      <c r="D26" s="147" t="s">
        <v>185</v>
      </c>
      <c r="E26" s="147" t="s">
        <v>139</v>
      </c>
      <c r="F26" s="120" t="s">
        <v>40</v>
      </c>
      <c r="G26" s="121"/>
      <c r="H26" s="121"/>
      <c r="I26" s="121" t="s">
        <v>40</v>
      </c>
      <c r="J26" s="121"/>
      <c r="K26" s="121"/>
      <c r="L26" s="121" t="s">
        <v>40</v>
      </c>
      <c r="M26" s="121"/>
      <c r="N26" s="121"/>
      <c r="O26" s="122"/>
      <c r="Q26" s="38"/>
    </row>
    <row r="27" spans="1:17" ht="66" outlineLevel="1">
      <c r="A27" s="146" t="s">
        <v>186</v>
      </c>
      <c r="B27" s="147" t="s">
        <v>147</v>
      </c>
      <c r="C27" s="147" t="s">
        <v>197</v>
      </c>
      <c r="D27" s="147" t="s">
        <v>146</v>
      </c>
      <c r="E27" s="147" t="s">
        <v>139</v>
      </c>
      <c r="F27" s="120" t="s">
        <v>40</v>
      </c>
      <c r="G27" s="121"/>
      <c r="H27" s="121"/>
      <c r="I27" s="121" t="s">
        <v>40</v>
      </c>
      <c r="J27" s="121"/>
      <c r="K27" s="121"/>
      <c r="L27" s="121" t="s">
        <v>40</v>
      </c>
      <c r="M27" s="121"/>
      <c r="N27" s="121"/>
      <c r="O27" s="122"/>
      <c r="Q27" s="38"/>
    </row>
    <row r="28" spans="1:17" s="30" customFormat="1" ht="15.75" customHeight="1">
      <c r="A28" s="118" t="s">
        <v>84</v>
      </c>
      <c r="B28" s="118"/>
      <c r="C28" s="119"/>
      <c r="D28" s="119"/>
      <c r="E28" s="119"/>
      <c r="F28" s="35"/>
      <c r="G28" s="35"/>
      <c r="H28" s="35"/>
      <c r="I28" s="35"/>
      <c r="J28" s="35"/>
      <c r="K28" s="35"/>
      <c r="L28" s="35"/>
      <c r="M28" s="35"/>
      <c r="N28" s="35"/>
      <c r="O28" s="36"/>
      <c r="Q28" s="37"/>
    </row>
    <row r="29" spans="1:17" ht="39.6" outlineLevel="1">
      <c r="A29" s="146" t="s">
        <v>198</v>
      </c>
      <c r="B29" s="147" t="s">
        <v>199</v>
      </c>
      <c r="C29" s="147" t="s">
        <v>200</v>
      </c>
      <c r="D29" s="147" t="s">
        <v>201</v>
      </c>
      <c r="E29" s="147" t="s">
        <v>249</v>
      </c>
      <c r="F29" s="120" t="s">
        <v>40</v>
      </c>
      <c r="G29" s="121"/>
      <c r="H29" s="121"/>
      <c r="I29" s="121" t="s">
        <v>40</v>
      </c>
      <c r="J29" s="121"/>
      <c r="K29" s="121"/>
      <c r="L29" s="121" t="s">
        <v>40</v>
      </c>
      <c r="M29" s="121"/>
      <c r="N29" s="121"/>
      <c r="O29" s="122"/>
      <c r="Q29" s="38"/>
    </row>
    <row r="30" spans="1:17" ht="39.6" outlineLevel="1">
      <c r="A30" s="146" t="s">
        <v>202</v>
      </c>
      <c r="B30" s="147" t="s">
        <v>203</v>
      </c>
      <c r="C30" s="147" t="s">
        <v>204</v>
      </c>
      <c r="D30" s="147" t="s">
        <v>205</v>
      </c>
      <c r="E30" s="147" t="s">
        <v>250</v>
      </c>
      <c r="F30" s="120" t="s">
        <v>40</v>
      </c>
      <c r="G30" s="121"/>
      <c r="H30" s="121"/>
      <c r="I30" s="121" t="s">
        <v>40</v>
      </c>
      <c r="J30" s="121"/>
      <c r="K30" s="121"/>
      <c r="L30" s="121" t="s">
        <v>40</v>
      </c>
      <c r="M30" s="121"/>
      <c r="N30" s="121"/>
      <c r="O30" s="122"/>
      <c r="Q30" s="38"/>
    </row>
    <row r="31" spans="1:17" ht="39.6" outlineLevel="1">
      <c r="A31" s="146" t="s">
        <v>206</v>
      </c>
      <c r="B31" s="147" t="s">
        <v>207</v>
      </c>
      <c r="C31" s="147" t="s">
        <v>208</v>
      </c>
      <c r="D31" s="147" t="s">
        <v>209</v>
      </c>
      <c r="E31" s="147" t="s">
        <v>251</v>
      </c>
      <c r="F31" s="120" t="s">
        <v>40</v>
      </c>
      <c r="G31" s="121"/>
      <c r="H31" s="121"/>
      <c r="I31" s="121" t="s">
        <v>40</v>
      </c>
      <c r="J31" s="121"/>
      <c r="K31" s="121"/>
      <c r="L31" s="121" t="s">
        <v>40</v>
      </c>
      <c r="M31" s="121"/>
      <c r="N31" s="121"/>
      <c r="O31" s="122"/>
      <c r="Q31" s="38"/>
    </row>
    <row r="32" spans="1:17" ht="52.8" outlineLevel="1">
      <c r="A32" s="146" t="s">
        <v>210</v>
      </c>
      <c r="B32" s="147" t="s">
        <v>211</v>
      </c>
      <c r="C32" s="147" t="s">
        <v>212</v>
      </c>
      <c r="D32" s="147" t="s">
        <v>213</v>
      </c>
      <c r="E32" s="147" t="s">
        <v>139</v>
      </c>
      <c r="F32" s="120" t="s">
        <v>40</v>
      </c>
      <c r="G32" s="121"/>
      <c r="H32" s="121"/>
      <c r="I32" s="121" t="s">
        <v>40</v>
      </c>
      <c r="J32" s="121"/>
      <c r="K32" s="121"/>
      <c r="L32" s="121" t="s">
        <v>40</v>
      </c>
      <c r="M32" s="121"/>
      <c r="N32" s="121"/>
      <c r="O32" s="122"/>
      <c r="Q32" s="38"/>
    </row>
    <row r="33" spans="1:17" ht="39.6" outlineLevel="1">
      <c r="A33" s="146" t="s">
        <v>214</v>
      </c>
      <c r="B33" s="147" t="s">
        <v>215</v>
      </c>
      <c r="C33" s="147" t="s">
        <v>216</v>
      </c>
      <c r="D33" s="147" t="s">
        <v>217</v>
      </c>
      <c r="E33" s="147" t="s">
        <v>253</v>
      </c>
      <c r="F33" s="120" t="s">
        <v>40</v>
      </c>
      <c r="G33" s="121"/>
      <c r="H33" s="121"/>
      <c r="I33" s="121" t="s">
        <v>40</v>
      </c>
      <c r="J33" s="121"/>
      <c r="K33" s="121"/>
      <c r="L33" s="121" t="s">
        <v>40</v>
      </c>
      <c r="M33" s="121"/>
      <c r="N33" s="121"/>
      <c r="O33" s="122"/>
      <c r="Q33" s="38"/>
    </row>
    <row r="34" spans="1:17" ht="52.8" outlineLevel="1">
      <c r="A34" s="146" t="s">
        <v>218</v>
      </c>
      <c r="B34" s="147" t="s">
        <v>219</v>
      </c>
      <c r="C34" s="147" t="s">
        <v>220</v>
      </c>
      <c r="D34" s="147" t="s">
        <v>221</v>
      </c>
      <c r="E34" s="147" t="s">
        <v>139</v>
      </c>
      <c r="F34" s="120" t="s">
        <v>40</v>
      </c>
      <c r="G34" s="121"/>
      <c r="H34" s="121"/>
      <c r="I34" s="121" t="s">
        <v>40</v>
      </c>
      <c r="J34" s="121"/>
      <c r="K34" s="121"/>
      <c r="L34" s="121" t="s">
        <v>40</v>
      </c>
      <c r="M34" s="121"/>
      <c r="N34" s="121"/>
      <c r="O34" s="122"/>
      <c r="Q34" s="38"/>
    </row>
    <row r="35" spans="1:17" ht="39.6" outlineLevel="1">
      <c r="A35" s="146" t="s">
        <v>222</v>
      </c>
      <c r="B35" s="147" t="s">
        <v>223</v>
      </c>
      <c r="C35" s="147" t="s">
        <v>224</v>
      </c>
      <c r="D35" s="147" t="s">
        <v>225</v>
      </c>
      <c r="E35" s="147" t="s">
        <v>252</v>
      </c>
      <c r="F35" s="120" t="s">
        <v>40</v>
      </c>
      <c r="G35" s="121"/>
      <c r="H35" s="121"/>
      <c r="I35" s="121" t="s">
        <v>40</v>
      </c>
      <c r="J35" s="121"/>
      <c r="K35" s="121"/>
      <c r="L35" s="121" t="s">
        <v>40</v>
      </c>
      <c r="M35" s="121"/>
      <c r="N35" s="121"/>
      <c r="O35" s="122"/>
      <c r="Q35" s="38"/>
    </row>
    <row r="36" spans="1:17" ht="39.6" outlineLevel="1">
      <c r="A36" s="146" t="s">
        <v>226</v>
      </c>
      <c r="B36" s="147" t="s">
        <v>93</v>
      </c>
      <c r="C36" s="147" t="s">
        <v>227</v>
      </c>
      <c r="D36" s="147" t="s">
        <v>228</v>
      </c>
      <c r="E36" s="147" t="s">
        <v>139</v>
      </c>
      <c r="F36" s="120" t="s">
        <v>40</v>
      </c>
      <c r="G36" s="121"/>
      <c r="H36" s="121"/>
      <c r="I36" s="121" t="s">
        <v>40</v>
      </c>
      <c r="J36" s="121"/>
      <c r="K36" s="121"/>
      <c r="L36" s="121" t="s">
        <v>40</v>
      </c>
      <c r="M36" s="121"/>
      <c r="N36" s="121"/>
      <c r="O36" s="122"/>
      <c r="Q36" s="38"/>
    </row>
    <row r="37" spans="1:17" ht="66" outlineLevel="1">
      <c r="A37" s="146" t="s">
        <v>229</v>
      </c>
      <c r="B37" s="147" t="s">
        <v>230</v>
      </c>
      <c r="C37" s="147" t="s">
        <v>231</v>
      </c>
      <c r="D37" s="147" t="s">
        <v>232</v>
      </c>
      <c r="E37" s="147" t="s">
        <v>139</v>
      </c>
      <c r="F37" s="120" t="s">
        <v>40</v>
      </c>
      <c r="G37" s="121"/>
      <c r="H37" s="121"/>
      <c r="I37" s="121" t="s">
        <v>40</v>
      </c>
      <c r="J37" s="121"/>
      <c r="K37" s="121"/>
      <c r="L37" s="121" t="s">
        <v>40</v>
      </c>
      <c r="M37" s="121"/>
      <c r="N37" s="121"/>
      <c r="O37" s="122"/>
      <c r="Q37" s="38"/>
    </row>
    <row r="38" spans="1:17" ht="79.2" outlineLevel="1">
      <c r="A38" s="146" t="s">
        <v>233</v>
      </c>
      <c r="B38" s="147" t="s">
        <v>234</v>
      </c>
      <c r="C38" s="147" t="s">
        <v>235</v>
      </c>
      <c r="D38" s="147" t="s">
        <v>236</v>
      </c>
      <c r="E38" s="147" t="s">
        <v>139</v>
      </c>
      <c r="F38" s="120" t="s">
        <v>40</v>
      </c>
      <c r="G38" s="121"/>
      <c r="H38" s="121"/>
      <c r="I38" s="121" t="s">
        <v>40</v>
      </c>
      <c r="J38" s="121"/>
      <c r="K38" s="121"/>
      <c r="L38" s="121" t="s">
        <v>40</v>
      </c>
      <c r="M38" s="121"/>
      <c r="N38" s="121"/>
      <c r="O38" s="122"/>
      <c r="Q38" s="38"/>
    </row>
    <row r="39" spans="1:17" ht="66" outlineLevel="1">
      <c r="A39" s="146" t="s">
        <v>237</v>
      </c>
      <c r="B39" s="147" t="s">
        <v>238</v>
      </c>
      <c r="C39" s="147" t="s">
        <v>239</v>
      </c>
      <c r="D39" s="147" t="s">
        <v>240</v>
      </c>
      <c r="E39" s="147" t="s">
        <v>139</v>
      </c>
      <c r="F39" s="120" t="s">
        <v>40</v>
      </c>
      <c r="G39" s="121"/>
      <c r="H39" s="121"/>
      <c r="I39" s="121" t="s">
        <v>40</v>
      </c>
      <c r="J39" s="121"/>
      <c r="K39" s="121"/>
      <c r="L39" s="121" t="s">
        <v>40</v>
      </c>
      <c r="M39" s="121"/>
      <c r="N39" s="121"/>
      <c r="O39" s="122"/>
      <c r="Q39" s="38"/>
    </row>
    <row r="40" spans="1:17" ht="66" outlineLevel="1">
      <c r="A40" s="146" t="s">
        <v>241</v>
      </c>
      <c r="B40" s="147" t="s">
        <v>242</v>
      </c>
      <c r="C40" s="147" t="s">
        <v>243</v>
      </c>
      <c r="D40" s="147" t="s">
        <v>244</v>
      </c>
      <c r="E40" s="147" t="s">
        <v>139</v>
      </c>
      <c r="F40" s="120" t="s">
        <v>40</v>
      </c>
      <c r="G40" s="121"/>
      <c r="H40" s="121"/>
      <c r="I40" s="121" t="s">
        <v>40</v>
      </c>
      <c r="J40" s="121"/>
      <c r="K40" s="121"/>
      <c r="L40" s="121" t="s">
        <v>40</v>
      </c>
      <c r="M40" s="121"/>
      <c r="N40" s="121"/>
      <c r="O40" s="122"/>
      <c r="Q40" s="38"/>
    </row>
    <row r="41" spans="1:17" ht="79.2" outlineLevel="1">
      <c r="A41" s="146" t="s">
        <v>245</v>
      </c>
      <c r="B41" s="147" t="s">
        <v>246</v>
      </c>
      <c r="C41" s="147" t="s">
        <v>247</v>
      </c>
      <c r="D41" s="147" t="s">
        <v>248</v>
      </c>
      <c r="E41" s="147" t="s">
        <v>139</v>
      </c>
      <c r="F41" s="120" t="s">
        <v>40</v>
      </c>
      <c r="G41" s="121"/>
      <c r="H41" s="121"/>
      <c r="I41" s="121" t="s">
        <v>40</v>
      </c>
      <c r="J41" s="121"/>
      <c r="K41" s="121"/>
      <c r="L41" s="121" t="s">
        <v>40</v>
      </c>
      <c r="M41" s="121"/>
      <c r="N41" s="121"/>
      <c r="O41" s="122"/>
      <c r="Q41" s="38"/>
    </row>
    <row r="42" spans="1:17" s="30" customFormat="1" ht="15.75" customHeight="1">
      <c r="A42" s="118" t="s">
        <v>254</v>
      </c>
      <c r="B42" s="118"/>
      <c r="C42" s="119"/>
      <c r="D42" s="119"/>
      <c r="E42" s="119"/>
      <c r="F42" s="35"/>
      <c r="G42" s="35"/>
      <c r="H42" s="35"/>
      <c r="I42" s="35"/>
      <c r="J42" s="35"/>
      <c r="K42" s="35"/>
      <c r="L42" s="35"/>
      <c r="M42" s="35"/>
      <c r="N42" s="35"/>
      <c r="O42" s="36"/>
      <c r="Q42" s="37"/>
    </row>
    <row r="43" spans="1:17" ht="52.8" outlineLevel="1">
      <c r="A43" s="146" t="s">
        <v>255</v>
      </c>
      <c r="B43" s="147" t="s">
        <v>256</v>
      </c>
      <c r="C43" s="147" t="s">
        <v>275</v>
      </c>
      <c r="D43" s="147" t="s">
        <v>257</v>
      </c>
      <c r="E43" s="147" t="s">
        <v>271</v>
      </c>
      <c r="F43" s="120" t="s">
        <v>40</v>
      </c>
      <c r="G43" s="121"/>
      <c r="H43" s="121"/>
      <c r="I43" s="121" t="s">
        <v>40</v>
      </c>
      <c r="J43" s="121"/>
      <c r="K43" s="121"/>
      <c r="L43" s="121" t="s">
        <v>40</v>
      </c>
      <c r="M43" s="121"/>
      <c r="N43" s="121"/>
      <c r="O43" s="122"/>
      <c r="Q43" s="38"/>
    </row>
    <row r="44" spans="1:17" ht="52.8" outlineLevel="1">
      <c r="A44" s="146" t="s">
        <v>258</v>
      </c>
      <c r="B44" s="147" t="s">
        <v>259</v>
      </c>
      <c r="C44" s="147" t="s">
        <v>276</v>
      </c>
      <c r="D44" s="147" t="s">
        <v>260</v>
      </c>
      <c r="E44" s="147" t="s">
        <v>261</v>
      </c>
      <c r="F44" s="120" t="s">
        <v>40</v>
      </c>
      <c r="G44" s="121"/>
      <c r="H44" s="121"/>
      <c r="I44" s="121" t="s">
        <v>40</v>
      </c>
      <c r="J44" s="121"/>
      <c r="K44" s="121"/>
      <c r="L44" s="121" t="s">
        <v>40</v>
      </c>
      <c r="M44" s="121"/>
      <c r="N44" s="121"/>
      <c r="O44" s="122"/>
      <c r="Q44" s="38"/>
    </row>
    <row r="45" spans="1:17" ht="52.8" outlineLevel="1">
      <c r="A45" s="146" t="s">
        <v>262</v>
      </c>
      <c r="B45" s="147" t="s">
        <v>263</v>
      </c>
      <c r="C45" s="147" t="s">
        <v>277</v>
      </c>
      <c r="D45" s="147" t="s">
        <v>264</v>
      </c>
      <c r="E45" s="147" t="s">
        <v>272</v>
      </c>
      <c r="F45" s="120" t="s">
        <v>40</v>
      </c>
      <c r="G45" s="121"/>
      <c r="H45" s="121"/>
      <c r="I45" s="121" t="s">
        <v>40</v>
      </c>
      <c r="J45" s="121"/>
      <c r="K45" s="121"/>
      <c r="L45" s="121" t="s">
        <v>40</v>
      </c>
      <c r="M45" s="121"/>
      <c r="N45" s="121"/>
      <c r="O45" s="122"/>
      <c r="Q45" s="38"/>
    </row>
    <row r="46" spans="1:17" ht="39.6" outlineLevel="1">
      <c r="A46" s="146" t="s">
        <v>265</v>
      </c>
      <c r="B46" s="147" t="s">
        <v>266</v>
      </c>
      <c r="C46" s="147" t="s">
        <v>278</v>
      </c>
      <c r="D46" s="147" t="s">
        <v>267</v>
      </c>
      <c r="E46" s="147" t="s">
        <v>273</v>
      </c>
      <c r="F46" s="120" t="s">
        <v>40</v>
      </c>
      <c r="G46" s="121"/>
      <c r="H46" s="121"/>
      <c r="I46" s="121" t="s">
        <v>40</v>
      </c>
      <c r="J46" s="121"/>
      <c r="K46" s="121"/>
      <c r="L46" s="121" t="s">
        <v>40</v>
      </c>
      <c r="M46" s="121"/>
      <c r="N46" s="121"/>
      <c r="O46" s="122"/>
      <c r="Q46" s="38"/>
    </row>
    <row r="47" spans="1:17" ht="39.6" outlineLevel="1">
      <c r="A47" s="146" t="s">
        <v>268</v>
      </c>
      <c r="B47" s="147" t="s">
        <v>269</v>
      </c>
      <c r="C47" s="147" t="s">
        <v>279</v>
      </c>
      <c r="D47" s="147" t="s">
        <v>270</v>
      </c>
      <c r="E47" s="147" t="s">
        <v>274</v>
      </c>
      <c r="F47" s="120" t="s">
        <v>40</v>
      </c>
      <c r="G47" s="121"/>
      <c r="H47" s="121"/>
      <c r="I47" s="121" t="s">
        <v>40</v>
      </c>
      <c r="J47" s="121"/>
      <c r="K47" s="121"/>
      <c r="L47" s="121" t="s">
        <v>40</v>
      </c>
      <c r="M47" s="121"/>
      <c r="N47" s="121"/>
      <c r="O47" s="122"/>
      <c r="Q47" s="38"/>
    </row>
    <row r="48" spans="1:17" s="30" customFormat="1" ht="15.75" customHeight="1">
      <c r="A48" s="118" t="s">
        <v>280</v>
      </c>
      <c r="B48" s="118"/>
      <c r="C48" s="119"/>
      <c r="D48" s="119"/>
      <c r="E48" s="119"/>
      <c r="F48" s="35"/>
      <c r="G48" s="35"/>
      <c r="H48" s="35"/>
      <c r="I48" s="35"/>
      <c r="J48" s="35"/>
      <c r="K48" s="35"/>
      <c r="L48" s="35"/>
      <c r="M48" s="35"/>
      <c r="N48" s="35"/>
      <c r="O48" s="36"/>
      <c r="Q48" s="37"/>
    </row>
    <row r="49" spans="1:17" ht="52.8" outlineLevel="1">
      <c r="A49" s="146" t="s">
        <v>281</v>
      </c>
      <c r="B49" s="147" t="s">
        <v>282</v>
      </c>
      <c r="C49" s="147" t="s">
        <v>302</v>
      </c>
      <c r="D49" s="147" t="s">
        <v>292</v>
      </c>
      <c r="E49" s="147" t="s">
        <v>297</v>
      </c>
      <c r="F49" s="120" t="s">
        <v>40</v>
      </c>
      <c r="G49" s="121"/>
      <c r="H49" s="121"/>
      <c r="I49" s="121" t="s">
        <v>40</v>
      </c>
      <c r="J49" s="121"/>
      <c r="K49" s="121"/>
      <c r="L49" s="121" t="s">
        <v>40</v>
      </c>
      <c r="M49" s="121"/>
      <c r="N49" s="121"/>
      <c r="O49" s="122"/>
      <c r="Q49" s="38"/>
    </row>
    <row r="50" spans="1:17" ht="52.8">
      <c r="A50" s="146" t="s">
        <v>283</v>
      </c>
      <c r="B50" s="147" t="s">
        <v>284</v>
      </c>
      <c r="C50" s="147" t="s">
        <v>303</v>
      </c>
      <c r="D50" s="147" t="s">
        <v>293</v>
      </c>
      <c r="E50" s="147" t="s">
        <v>285</v>
      </c>
      <c r="F50" s="120" t="s">
        <v>40</v>
      </c>
      <c r="G50" s="121"/>
      <c r="H50" s="121"/>
      <c r="I50" s="121" t="s">
        <v>40</v>
      </c>
      <c r="J50" s="121"/>
      <c r="K50" s="121"/>
      <c r="L50" s="121" t="s">
        <v>40</v>
      </c>
      <c r="M50" s="121"/>
      <c r="N50" s="121"/>
      <c r="O50" s="122"/>
    </row>
    <row r="51" spans="1:17" ht="79.2">
      <c r="A51" s="146" t="s">
        <v>286</v>
      </c>
      <c r="B51" s="147" t="s">
        <v>287</v>
      </c>
      <c r="C51" s="147" t="s">
        <v>301</v>
      </c>
      <c r="D51" s="147" t="s">
        <v>294</v>
      </c>
      <c r="E51" s="147" t="s">
        <v>285</v>
      </c>
      <c r="F51" s="120" t="s">
        <v>40</v>
      </c>
      <c r="G51" s="121"/>
      <c r="H51" s="121"/>
      <c r="I51" s="121" t="s">
        <v>40</v>
      </c>
      <c r="J51" s="121"/>
      <c r="K51" s="121"/>
      <c r="L51" s="121" t="s">
        <v>40</v>
      </c>
      <c r="M51" s="121"/>
      <c r="N51" s="121"/>
      <c r="O51" s="122"/>
    </row>
    <row r="52" spans="1:17" ht="52.8">
      <c r="A52" s="146" t="s">
        <v>288</v>
      </c>
      <c r="B52" s="147" t="s">
        <v>289</v>
      </c>
      <c r="C52" s="147" t="s">
        <v>300</v>
      </c>
      <c r="D52" s="147" t="s">
        <v>295</v>
      </c>
      <c r="E52" s="147" t="s">
        <v>285</v>
      </c>
      <c r="F52" s="120" t="s">
        <v>40</v>
      </c>
      <c r="G52" s="121"/>
      <c r="H52" s="121"/>
      <c r="I52" s="121" t="s">
        <v>40</v>
      </c>
      <c r="J52" s="121"/>
      <c r="K52" s="121"/>
      <c r="L52" s="121" t="s">
        <v>40</v>
      </c>
      <c r="M52" s="121"/>
      <c r="N52" s="121"/>
      <c r="O52" s="122"/>
    </row>
    <row r="53" spans="1:17" ht="52.8">
      <c r="A53" s="146" t="s">
        <v>290</v>
      </c>
      <c r="B53" s="147" t="s">
        <v>291</v>
      </c>
      <c r="C53" s="147" t="s">
        <v>299</v>
      </c>
      <c r="D53" s="147" t="s">
        <v>296</v>
      </c>
      <c r="E53" s="147" t="s">
        <v>298</v>
      </c>
      <c r="F53" s="120" t="s">
        <v>40</v>
      </c>
      <c r="G53" s="121"/>
      <c r="H53" s="121"/>
      <c r="I53" s="121" t="s">
        <v>40</v>
      </c>
      <c r="J53" s="121"/>
      <c r="K53" s="121"/>
      <c r="L53" s="121" t="s">
        <v>40</v>
      </c>
      <c r="M53" s="121"/>
      <c r="N53" s="121"/>
      <c r="O53" s="122"/>
    </row>
    <row r="54" spans="1:17" s="30" customFormat="1" ht="15.75" customHeight="1">
      <c r="A54" s="118" t="s">
        <v>304</v>
      </c>
      <c r="B54" s="118"/>
      <c r="C54" s="119"/>
      <c r="D54" s="119"/>
      <c r="E54" s="119"/>
      <c r="F54" s="35"/>
      <c r="G54" s="35"/>
      <c r="H54" s="35"/>
      <c r="I54" s="35"/>
      <c r="J54" s="35"/>
      <c r="K54" s="35"/>
      <c r="L54" s="35"/>
      <c r="M54" s="35"/>
      <c r="N54" s="35"/>
      <c r="O54" s="36"/>
      <c r="Q54" s="37"/>
    </row>
    <row r="55" spans="1:17" ht="52.8" outlineLevel="1">
      <c r="A55" s="146" t="s">
        <v>305</v>
      </c>
      <c r="B55" s="147" t="s">
        <v>306</v>
      </c>
      <c r="C55" s="147" t="s">
        <v>317</v>
      </c>
      <c r="D55" s="147" t="s">
        <v>307</v>
      </c>
      <c r="E55" s="147" t="s">
        <v>315</v>
      </c>
      <c r="F55" s="120" t="s">
        <v>40</v>
      </c>
      <c r="G55" s="121"/>
      <c r="H55" s="121"/>
      <c r="I55" s="121" t="s">
        <v>40</v>
      </c>
      <c r="J55" s="121"/>
      <c r="K55" s="121"/>
      <c r="L55" s="121" t="s">
        <v>40</v>
      </c>
      <c r="M55" s="121"/>
      <c r="N55" s="121"/>
      <c r="O55" s="122"/>
      <c r="Q55" s="38"/>
    </row>
    <row r="56" spans="1:17" ht="39.6">
      <c r="A56" s="146" t="s">
        <v>308</v>
      </c>
      <c r="B56" s="147" t="s">
        <v>309</v>
      </c>
      <c r="C56" s="147" t="s">
        <v>318</v>
      </c>
      <c r="D56" s="147" t="s">
        <v>185</v>
      </c>
      <c r="E56" s="147" t="s">
        <v>310</v>
      </c>
      <c r="F56" s="120" t="s">
        <v>40</v>
      </c>
      <c r="G56" s="121"/>
      <c r="H56" s="121"/>
      <c r="I56" s="121" t="s">
        <v>40</v>
      </c>
      <c r="J56" s="121"/>
      <c r="K56" s="121"/>
      <c r="L56" s="121" t="s">
        <v>40</v>
      </c>
      <c r="M56" s="121"/>
      <c r="N56" s="121"/>
      <c r="O56" s="122"/>
    </row>
    <row r="57" spans="1:17" ht="52.8">
      <c r="A57" s="146" t="s">
        <v>311</v>
      </c>
      <c r="B57" s="147" t="s">
        <v>312</v>
      </c>
      <c r="C57" s="147" t="s">
        <v>313</v>
      </c>
      <c r="D57" s="147" t="s">
        <v>314</v>
      </c>
      <c r="E57" s="147" t="s">
        <v>316</v>
      </c>
      <c r="F57" s="120" t="s">
        <v>40</v>
      </c>
      <c r="G57" s="121"/>
      <c r="H57" s="121"/>
      <c r="I57" s="121" t="s">
        <v>40</v>
      </c>
      <c r="J57" s="121"/>
      <c r="K57" s="121"/>
      <c r="L57" s="121" t="s">
        <v>40</v>
      </c>
      <c r="M57" s="121"/>
      <c r="N57" s="121"/>
      <c r="O57" s="122"/>
    </row>
  </sheetData>
  <mergeCells count="3">
    <mergeCell ref="B2:E2"/>
    <mergeCell ref="B3:E3"/>
    <mergeCell ref="B4:E4"/>
  </mergeCells>
  <dataValidations count="2">
    <dataValidation allowBlank="1" showErrorMessage="1" sqref="F10 I10 L10"/>
    <dataValidation type="list" allowBlank="1" showErrorMessage="1" sqref="G2:G3 G9 M58:M168 J2:J3 J9 G58:G168 M2:M3 M9 J58:J168 F12:F57 I12:I57 L12:L5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Cases</vt:lpstr>
      <vt:lpstr>Test Statistics</vt:lpstr>
      <vt:lpstr>Coach Management</vt:lpstr>
      <vt:lpstr>Coach Type Management</vt:lpstr>
    </vt:vector>
  </TitlesOfParts>
  <Company>FSOFT</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Yoshi Lê</cp:lastModifiedBy>
  <cp:lastPrinted>2010-11-12T10:33:20Z</cp:lastPrinted>
  <dcterms:created xsi:type="dcterms:W3CDTF">2020-03-17T17:34:29Z</dcterms:created>
  <dcterms:modified xsi:type="dcterms:W3CDTF">2026-07-09T06:33:10Z</dcterms:modified>
  <cp:category>BM</cp:category>
</cp:coreProperties>
</file>